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Ridhima Gupta\Desktop\CTUIL\1 My Work\CON4_Compliance_Validation_Sheet_Verification Tool\"/>
    </mc:Choice>
  </mc:AlternateContent>
  <xr:revisionPtr revIDLastSave="0" documentId="13_ncr:1_{8D838E5E-2F37-4953-A197-0880A98933A2}" xr6:coauthVersionLast="47" xr6:coauthVersionMax="47" xr10:uidLastSave="{00000000-0000-0000-0000-000000000000}"/>
  <bookViews>
    <workbookView xWindow="-110" yWindow="-110" windowWidth="19420" windowHeight="11500" tabRatio="500" firstSheet="8" activeTab="9" xr2:uid="{00000000-000D-0000-FFFF-FFFF00000000}"/>
  </bookViews>
  <sheets>
    <sheet name="Cover" sheetId="1" state="hidden" r:id="rId1"/>
    <sheet name="Summary Dashboard" sheetId="2" state="hidden" r:id="rId2"/>
    <sheet name="Pivot Analysis" sheetId="3" state="hidden" r:id="rId3"/>
    <sheet name="General Details-RE" sheetId="4" r:id="rId4"/>
    <sheet name="Steady State" sheetId="7" r:id="rId5"/>
    <sheet name="TD Requirement-RE" sheetId="5" r:id="rId6"/>
    <sheet name="Power Quality" sheetId="6" r:id="rId7"/>
    <sheet name="Dynamic Data-RE" sheetId="8" r:id="rId8"/>
    <sheet name="Visual_Data_Dynamic_RE" sheetId="11" r:id="rId9"/>
    <sheet name="Standard Test Cases" sheetId="9" r:id="rId10"/>
    <sheet name="Addl Checklist" sheetId="10" r:id="rId11"/>
  </sheets>
  <definedNames>
    <definedName name="_xlnm._FilterDatabase" localSheetId="10" hidden="1">'Addl Checklist'!$A$2:$F$24</definedName>
    <definedName name="_xlnm._FilterDatabase" localSheetId="7" hidden="1">'Dynamic Data-RE'!$A$3:$M$181</definedName>
    <definedName name="_xlnm._FilterDatabase" localSheetId="3" hidden="1">'General Details-RE'!$A$3:$H$3</definedName>
    <definedName name="_xlnm._FilterDatabase" localSheetId="6" hidden="1">'Power Quality'!$A$3:$K$3</definedName>
    <definedName name="_xlnm._FilterDatabase" localSheetId="9" hidden="1">'Standard Test Cases'!$A$3:$L$229</definedName>
    <definedName name="_xlnm._FilterDatabase" localSheetId="4" hidden="1">'Steady State'!$A$3:$M$58</definedName>
    <definedName name="_xlnm._FilterDatabase" localSheetId="5" hidden="1">'TD Requirement-RE'!$A$3:$F$142</definedName>
    <definedName name="_xlnm.Print_Area" localSheetId="10">'Addl Checklist'!$A$1:$F$25</definedName>
    <definedName name="_xlnm.Print_Area" localSheetId="7">'Dynamic Data-RE'!$A$1:$N$191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16" i="8" l="1"/>
  <c r="H52" i="8"/>
  <c r="H47" i="8"/>
  <c r="H42" i="8"/>
  <c r="H35" i="8"/>
  <c r="H30" i="8"/>
  <c r="H25" i="8"/>
  <c r="H18" i="8"/>
  <c r="H13" i="8"/>
  <c r="H8" i="8"/>
  <c r="H134" i="8"/>
  <c r="H131" i="8"/>
  <c r="H127" i="8"/>
  <c r="H121" i="8"/>
  <c r="H118" i="8"/>
  <c r="H110" i="8"/>
  <c r="H97" i="8"/>
  <c r="H98" i="8"/>
  <c r="H94" i="8"/>
  <c r="H91" i="8"/>
  <c r="H82" i="8"/>
  <c r="H81" i="8"/>
  <c r="H78" i="8"/>
  <c r="H62" i="8"/>
  <c r="H65" i="8"/>
  <c r="H66" i="8"/>
  <c r="H107" i="8"/>
  <c r="H140" i="8"/>
  <c r="I10" i="7" l="1"/>
  <c r="H10" i="7"/>
  <c r="J41" i="8" l="1"/>
  <c r="J24" i="8"/>
  <c r="A5" i="10"/>
  <c r="A6" i="10"/>
  <c r="A7" i="10"/>
  <c r="A8" i="10"/>
  <c r="A10" i="10"/>
  <c r="A11" i="10"/>
  <c r="A12" i="10"/>
  <c r="A13" i="10"/>
  <c r="A14" i="10"/>
  <c r="A15" i="10"/>
  <c r="A16" i="10"/>
  <c r="A17" i="10"/>
  <c r="A18" i="10"/>
  <c r="A19" i="10"/>
  <c r="A20" i="10"/>
  <c r="A21" i="10"/>
  <c r="A22" i="10"/>
  <c r="A23" i="10"/>
  <c r="A24" i="10"/>
  <c r="J7" i="8"/>
  <c r="C46" i="3"/>
  <c r="D45" i="3"/>
  <c r="C45" i="3"/>
  <c r="D41" i="3"/>
  <c r="C41" i="3"/>
  <c r="D40" i="3"/>
  <c r="C40" i="3"/>
  <c r="D39" i="3"/>
  <c r="C39" i="3"/>
  <c r="D38" i="3"/>
  <c r="C38" i="3"/>
  <c r="D37" i="3"/>
  <c r="C37" i="3"/>
  <c r="D36" i="3"/>
  <c r="C36" i="3"/>
  <c r="D35" i="3"/>
  <c r="C35" i="3"/>
  <c r="D34" i="3"/>
  <c r="C34" i="3"/>
  <c r="D33" i="3"/>
  <c r="C33" i="3"/>
  <c r="F28" i="3"/>
  <c r="E28" i="3"/>
  <c r="D28" i="3"/>
  <c r="C28" i="3"/>
  <c r="B28" i="3"/>
  <c r="F27" i="3"/>
  <c r="E27" i="3"/>
  <c r="D27" i="3"/>
  <c r="C27" i="3"/>
  <c r="B27" i="3"/>
  <c r="F26" i="3"/>
  <c r="E26" i="3"/>
  <c r="D26" i="3"/>
  <c r="C26" i="3"/>
  <c r="B26" i="3"/>
  <c r="F25" i="3"/>
  <c r="E25" i="3"/>
  <c r="D25" i="3"/>
  <c r="C25" i="3"/>
  <c r="B25" i="3"/>
  <c r="F24" i="3"/>
  <c r="E24" i="3"/>
  <c r="D24" i="3"/>
  <c r="C24" i="3"/>
  <c r="B24" i="3"/>
  <c r="F23" i="3"/>
  <c r="E23" i="3"/>
  <c r="D23" i="3"/>
  <c r="C23" i="3"/>
  <c r="B23" i="3"/>
  <c r="F22" i="3"/>
  <c r="E22" i="3"/>
  <c r="D22" i="3"/>
  <c r="C22" i="3"/>
  <c r="B22" i="3"/>
  <c r="F21" i="3"/>
  <c r="E21" i="3"/>
  <c r="D21" i="3"/>
  <c r="C21" i="3"/>
  <c r="B21" i="3"/>
  <c r="F20" i="3"/>
  <c r="E20" i="3"/>
  <c r="D20" i="3"/>
  <c r="C20" i="3"/>
  <c r="B20" i="3"/>
  <c r="F19" i="3"/>
  <c r="E19" i="3"/>
  <c r="D19" i="3"/>
  <c r="C19" i="3"/>
  <c r="B19" i="3"/>
  <c r="F18" i="3"/>
  <c r="E18" i="3"/>
  <c r="D18" i="3"/>
  <c r="C18" i="3"/>
  <c r="B18" i="3"/>
  <c r="F17" i="3"/>
  <c r="E17" i="3"/>
  <c r="D17" i="3"/>
  <c r="C17" i="3"/>
  <c r="B17" i="3"/>
  <c r="F16" i="3"/>
  <c r="E16" i="3"/>
  <c r="D16" i="3"/>
  <c r="C16" i="3"/>
  <c r="B16" i="3"/>
  <c r="C11" i="3"/>
  <c r="E11" i="3" s="1"/>
  <c r="B11" i="3"/>
  <c r="B10" i="3"/>
  <c r="C9" i="3"/>
  <c r="B9" i="3"/>
  <c r="C8" i="3"/>
  <c r="B8" i="3"/>
  <c r="C7" i="3"/>
  <c r="B7" i="3"/>
  <c r="E7" i="3" s="1"/>
  <c r="C6" i="3"/>
  <c r="B6" i="3"/>
  <c r="F25" i="2"/>
  <c r="E25" i="2"/>
  <c r="D25" i="2"/>
  <c r="F24" i="2"/>
  <c r="E24" i="2"/>
  <c r="F23" i="2"/>
  <c r="E23" i="2"/>
  <c r="F22" i="2"/>
  <c r="E22" i="2"/>
  <c r="F21" i="2"/>
  <c r="E21" i="2"/>
  <c r="F20" i="2"/>
  <c r="E20" i="2"/>
  <c r="F19" i="2"/>
  <c r="E19" i="2"/>
  <c r="D7" i="3" l="1"/>
  <c r="D11" i="3"/>
  <c r="E6" i="3"/>
  <c r="D6" i="3"/>
  <c r="C10" i="3"/>
  <c r="C12" i="3" s="1"/>
  <c r="D9" i="3"/>
  <c r="E9" i="3"/>
  <c r="B12" i="3"/>
  <c r="E8" i="3"/>
  <c r="D8" i="3"/>
  <c r="E10" i="3" l="1"/>
  <c r="D10" i="3"/>
  <c r="D12" i="3" s="1"/>
  <c r="E12" i="3"/>
  <c r="C62" i="3" s="1"/>
  <c r="B62" i="3" l="1"/>
</calcChain>
</file>

<file path=xl/sharedStrings.xml><?xml version="1.0" encoding="utf-8"?>
<sst xmlns="http://schemas.openxmlformats.org/spreadsheetml/2006/main" count="5424" uniqueCount="1735">
  <si>
    <t>GRID CONNECTIVITY COMPLIANCE WORKBOOK</t>
  </si>
  <si>
    <t>CON4 – RE Plant Compliance Checklist</t>
  </si>
  <si>
    <t>Central Transmission Utility | Grid-India | RE Plant DMAT Submission</t>
  </si>
  <si>
    <t>PROJECT DETAILS</t>
  </si>
  <si>
    <t>DOCUMENT DETAILS</t>
  </si>
  <si>
    <t>Project Name / Grantee:</t>
  </si>
  <si>
    <t>Rajasthan Solar Park – Phase II</t>
  </si>
  <si>
    <t>Document Version:</t>
  </si>
  <si>
    <t>v1.2</t>
  </si>
  <si>
    <t>CTU Application No.:</t>
  </si>
  <si>
    <t>CTU/GNA/2024/1547</t>
  </si>
  <si>
    <t>Prepared By:</t>
  </si>
  <si>
    <t>Gaurav Sharma, PE</t>
  </si>
  <si>
    <t>Connectivity Quantum (MW):</t>
  </si>
  <si>
    <t>500</t>
  </si>
  <si>
    <t>Reviewed By:</t>
  </si>
  <si>
    <t>Anjali Mehta, Sr. Engineer</t>
  </si>
  <si>
    <t>POI Station (ISTS):</t>
  </si>
  <si>
    <t>Bikaner ISTS 765/400 kV</t>
  </si>
  <si>
    <t>Approved By:</t>
  </si>
  <si>
    <t>Rakesh Verma, DGM</t>
  </si>
  <si>
    <t>POI Bus Voltage (kV):</t>
  </si>
  <si>
    <t>400 kV</t>
  </si>
  <si>
    <t>Submission Date:</t>
  </si>
  <si>
    <t>15-Mar-2025</t>
  </si>
  <si>
    <t>RE Plant Type:</t>
  </si>
  <si>
    <t>Solar PV (IBR) – without BESS</t>
  </si>
  <si>
    <t>Revision No.:</t>
  </si>
  <si>
    <t>Rev-3</t>
  </si>
  <si>
    <t>Expected COD:</t>
  </si>
  <si>
    <t>15-Jun-2026 / 30-Sep-2026</t>
  </si>
  <si>
    <t>Study Engineer:</t>
  </si>
  <si>
    <t>Sanjay Patel</t>
  </si>
  <si>
    <t>IBR OEM:</t>
  </si>
  <si>
    <t>SMA Solar Technology AG</t>
  </si>
  <si>
    <t>Organization:</t>
  </si>
  <si>
    <t>Grid-India Connectivity Cell</t>
  </si>
  <si>
    <t>COLOUR CODE LEGEND</t>
  </si>
  <si>
    <t>Editable Input Cell</t>
  </si>
  <si>
    <t>Fill in with project/study data</t>
  </si>
  <si>
    <t>Developer / Auto-populated</t>
  </si>
  <si>
    <t>Pre-filled reference or formula</t>
  </si>
  <si>
    <t>Compliant / Achieved</t>
  </si>
  <si>
    <t>Value meets the required limit</t>
  </si>
  <si>
    <t>Non-Compliant / Inconsistent</t>
  </si>
  <si>
    <t>Value does not meet limit or inconsistent</t>
  </si>
  <si>
    <t>Not Applicable / Blank</t>
  </si>
  <si>
    <t>Row not applicable or data not available</t>
  </si>
  <si>
    <t>This workbook is prepared for DMAT compliance submission under CTU/Grid-India connectivity regulations for RE Plants.</t>
  </si>
  <si>
    <t>COMPLIANCE SUMMARY DASHBOARD</t>
  </si>
  <si>
    <t>CON4 – RE Plant DMAT Compliance Status Overview</t>
  </si>
  <si>
    <t>COMPLIANCE SCORECARD</t>
  </si>
  <si>
    <t>General Details
0/27 Items</t>
  </si>
  <si>
    <t>TD Requirements
1/140 Items</t>
  </si>
  <si>
    <t>Power Quality
0/15 Items</t>
  </si>
  <si>
    <t>Steady State
0/60 Items</t>
  </si>
  <si>
    <t>Awaited</t>
  </si>
  <si>
    <t>1 Submitted</t>
  </si>
  <si>
    <t>Dynamic Data
0/99 Items</t>
  </si>
  <si>
    <t>Test Cases
0/238 Items</t>
  </si>
  <si>
    <t>SHEET-WISE COMPLIANCE SUMMARY TABLE</t>
  </si>
  <si>
    <t>Sheet / Category</t>
  </si>
  <si>
    <t>Total Items</t>
  </si>
  <si>
    <t>Submitted</t>
  </si>
  <si>
    <t>Not Submitted</t>
  </si>
  <si>
    <t>Compliance %</t>
  </si>
  <si>
    <t>Priority</t>
  </si>
  <si>
    <t>Status</t>
  </si>
  <si>
    <t>Remarks</t>
  </si>
  <si>
    <t>General Details - RE</t>
  </si>
  <si>
    <t>HIGH</t>
  </si>
  <si>
    <t>On Track</t>
  </si>
  <si>
    <t>25/27 submitted; 2 items pending</t>
  </si>
  <si>
    <t>TD Requirements - RE</t>
  </si>
  <si>
    <t>Pending</t>
  </si>
  <si>
    <t>40 submitted; 100 docs from OEM pending</t>
  </si>
  <si>
    <t>Power Quality</t>
  </si>
  <si>
    <t>All 15 items compliant ✓</t>
  </si>
  <si>
    <t>Steady State Analysis</t>
  </si>
  <si>
    <t>In Progress</t>
  </si>
  <si>
    <t>38 values filled; 22 PSS/E values pending</t>
  </si>
  <si>
    <t>Dynamic Data - RE</t>
  </si>
  <si>
    <t>39 LVRT/HVRT values filled; 60 pending</t>
  </si>
  <si>
    <t>Standard Test Cases</t>
  </si>
  <si>
    <t>MEDIUM</t>
  </si>
  <si>
    <t>80 test files submitted; 158 awaited</t>
  </si>
  <si>
    <t>TOTAL</t>
  </si>
  <si>
    <t>NOTES ON COLOUR CODING USED THROUGHOUT THIS WORKBOOK</t>
  </si>
  <si>
    <t>Input/Editable Cell</t>
  </si>
  <si>
    <t>Yellow highlight — Developer/entity must fill in this data</t>
  </si>
  <si>
    <t>Developer Reference</t>
  </si>
  <si>
    <t>Blue highlight — Pre-filled by developer or reference data</t>
  </si>
  <si>
    <t>Green highlight — Value observed meets or exceeds the required limit</t>
  </si>
  <si>
    <t>Red/Orange highlight — Value does not meet limit or data is inconsistent</t>
  </si>
  <si>
    <t>CON4 COMPLIANCE PIVOT ANALYSIS  —  Rajasthan Solar Park Phase II  |  500 MW Solar IBR</t>
  </si>
  <si>
    <t>Submission cut-off: 15-Mar-2025  |  Study Engineer: Gaurav Sharma  |  POI: Bikaner 765/400 kV ISTS  |  Auto-generated summary</t>
  </si>
  <si>
    <t xml:space="preserve">  SECTION 1 – SHEET-WISE SUBMISSION OVERVIEW</t>
  </si>
  <si>
    <t>Completion %</t>
  </si>
  <si>
    <t>2 items pending developer input</t>
  </si>
  <si>
    <t>100 TD docs awaiting OEM</t>
  </si>
  <si>
    <t>All PQ parameters compliant ✓</t>
  </si>
  <si>
    <t>22 PSS/E LF values pending</t>
  </si>
  <si>
    <t>60 LVRT/HVRT params pending</t>
  </si>
  <si>
    <t>158 test result files awaited</t>
  </si>
  <si>
    <t xml:space="preserve">  SECTION 2 – TD REQUIREMENT CATEGORY BREAKDOWN</t>
  </si>
  <si>
    <t>Category</t>
  </si>
  <si>
    <t>Total</t>
  </si>
  <si>
    <t>RAG</t>
  </si>
  <si>
    <t>Technical Details - IBR Unit</t>
  </si>
  <si>
    <t>Single Line Diagram</t>
  </si>
  <si>
    <t>Equipment details</t>
  </si>
  <si>
    <t>Certification &amp; Unit level testing to be furnished by the entity</t>
  </si>
  <si>
    <t>Unit Level Reports (Inverter)</t>
  </si>
  <si>
    <t>Unit Level Reports [SVG (if applicable)]</t>
  </si>
  <si>
    <t>Unit Level Reports (WTG)</t>
  </si>
  <si>
    <t>Unit Level Reports (BESS/PCS)  (if applicable)</t>
  </si>
  <si>
    <t>PPC</t>
  </si>
  <si>
    <t>Plant Level Study Reports</t>
  </si>
  <si>
    <t>Plant Level RMS Files (PSS/E)</t>
  </si>
  <si>
    <t>Plant Level EMT Models(PSCAD)</t>
  </si>
  <si>
    <t>Plant Level RMS Models(PSS/E)</t>
  </si>
  <si>
    <t xml:space="preserve">  SECTION 3 – POWER QUALITY COMPLIANCE STATUS</t>
  </si>
  <si>
    <t>Parameter</t>
  </si>
  <si>
    <t>Value Observed</t>
  </si>
  <si>
    <t>Limit</t>
  </si>
  <si>
    <t>Compliance Status</t>
  </si>
  <si>
    <t>TDD – Max Harmonic Current Distortion</t>
  </si>
  <si>
    <t>Harmonics</t>
  </si>
  <si>
    <t>COMPLIANT ✓</t>
  </si>
  <si>
    <t>THD 2 ≤ h &lt; 11</t>
  </si>
  <si>
    <t>THD 11 ≤ h &lt; 17</t>
  </si>
  <si>
    <t>THD 17 ≤ h &lt; 23</t>
  </si>
  <si>
    <t>THD 23 ≤ h &lt; 35</t>
  </si>
  <si>
    <t>DC Current Injection</t>
  </si>
  <si>
    <t>DC Injection</t>
  </si>
  <si>
    <t>Flicker – Short Term (Pst)</t>
  </si>
  <si>
    <t>Flicker</t>
  </si>
  <si>
    <t>Flicker – Long Term (Plt)</t>
  </si>
  <si>
    <t>Voltage Unbalance (IEC 61000-4-30)</t>
  </si>
  <si>
    <t>V. Quality</t>
  </si>
  <si>
    <t xml:space="preserve">  SECTION 4 – DYNAMIC PERFORMANCE SUMMARY (LVRT / HVRT)</t>
  </si>
  <si>
    <t>Test Condition</t>
  </si>
  <si>
    <t>Tool</t>
  </si>
  <si>
    <t>Incremental IQ (pu)</t>
  </si>
  <si>
    <t>Active Current (pu)</t>
  </si>
  <si>
    <t>Active Pwr Recovery (%)</t>
  </si>
  <si>
    <t>Limit (%)</t>
  </si>
  <si>
    <t>LVRT 0.15 pu, 100% P, Sym</t>
  </si>
  <si>
    <t>PSS/E</t>
  </si>
  <si>
    <t>93.2</t>
  </si>
  <si>
    <t>≥90</t>
  </si>
  <si>
    <t>PSCAD</t>
  </si>
  <si>
    <t>0.79</t>
  </si>
  <si>
    <t>92.8</t>
  </si>
  <si>
    <t>LVRT 0.5 pu, 100% P, Sym</t>
  </si>
  <si>
    <t>0.95</t>
  </si>
  <si>
    <t>0.75</t>
  </si>
  <si>
    <t>LVRT 0.85 pu, 100% P, Sym</t>
  </si>
  <si>
    <t>0.48</t>
  </si>
  <si>
    <t>0.88</t>
  </si>
  <si>
    <t>—</t>
  </si>
  <si>
    <t>No trip – PASS ✓</t>
  </si>
  <si>
    <t>HVRT 1.1 pu, 100% P, Sym</t>
  </si>
  <si>
    <t>HVRT 1.3 pu, 100% P, Sym</t>
  </si>
  <si>
    <t xml:space="preserve">  SECTION 5 – KEY GAPS &amp; ACTION ITEMS</t>
  </si>
  <si>
    <t>#</t>
  </si>
  <si>
    <t>Area</t>
  </si>
  <si>
    <t>Gap Description</t>
  </si>
  <si>
    <t>Items Missing</t>
  </si>
  <si>
    <t>Responsible</t>
  </si>
  <si>
    <t>Target Date</t>
  </si>
  <si>
    <t>TD Requirements</t>
  </si>
  <si>
    <t>100 TD documents pending OEM submission</t>
  </si>
  <si>
    <t>Developer / OEM</t>
  </si>
  <si>
    <t>15-Apr-2025</t>
  </si>
  <si>
    <t>OPEN</t>
  </si>
  <si>
    <t>Standard Tests</t>
  </si>
  <si>
    <t>158 test result files not yet provided</t>
  </si>
  <si>
    <t>30-Apr-2025</t>
  </si>
  <si>
    <t>Steady State</t>
  </si>
  <si>
    <t>22 PSS/E load flow observed values missing</t>
  </si>
  <si>
    <t>Study Engineer</t>
  </si>
  <si>
    <t>20-Mar-2025</t>
  </si>
  <si>
    <t>IN PROGRESS</t>
  </si>
  <si>
    <t>Dynamic Data</t>
  </si>
  <si>
    <t>60 LVRT/HVRT/DMAT parameter values unfilled</t>
  </si>
  <si>
    <t>25-Mar-2025</t>
  </si>
  <si>
    <t>General Details</t>
  </si>
  <si>
    <t>2 general items awaiting developer input</t>
  </si>
  <si>
    <t>Developer</t>
  </si>
  <si>
    <t>10-Mar-2025</t>
  </si>
  <si>
    <t>Documentation</t>
  </si>
  <si>
    <t>CONN-TD4 final signature pending</t>
  </si>
  <si>
    <t>Developer/Legal</t>
  </si>
  <si>
    <t>01-Mar-2025</t>
  </si>
  <si>
    <t>NEAR CLOSURE</t>
  </si>
  <si>
    <t xml:space="preserve">  SECTION 6 – OVERALL SCORECARD</t>
  </si>
  <si>
    <t>Overall Submission Rate</t>
  </si>
  <si>
    <t>100% (15/15) – All parameters within limits</t>
  </si>
  <si>
    <t>COMPLIANT</t>
  </si>
  <si>
    <t>Dynamic Performance (LVRT/HVRT)</t>
  </si>
  <si>
    <t>Active Power Recovery &gt;90% confirmed</t>
  </si>
  <si>
    <t>Documentation Completeness</t>
  </si>
  <si>
    <t>342 items pending – OEM &amp; Study Engineer action needed</t>
  </si>
  <si>
    <t>ACTION NEEDED</t>
  </si>
  <si>
    <t>General Details for Renewable Energy Source</t>
  </si>
  <si>
    <t>Sr. No. </t>
  </si>
  <si>
    <t>Description </t>
  </si>
  <si>
    <t>Unit</t>
  </si>
  <si>
    <t>Details</t>
  </si>
  <si>
    <t>Submission Status  (Submitted/ Awaited)</t>
  </si>
  <si>
    <t>Name of File/ Folder Name</t>
  </si>
  <si>
    <t>📝 Developer Guidance / Explanatory Note</t>
  </si>
  <si>
    <t>General</t>
  </si>
  <si>
    <t>Name of Connectivity Grantee  </t>
  </si>
  <si>
    <t>Name</t>
  </si>
  <si>
    <t>Enter the full legal name of the entity that holds the CTU Connectivity/GNA grant. Must match exactly as on the grant letter. Example: 'Rajasthan Solar Park – Phase II'.</t>
  </si>
  <si>
    <t>CTU Connectivity / GNA Application Number </t>
  </si>
  <si>
    <t>Number</t>
  </si>
  <si>
    <t>Enter the CTU-assigned application number. Obtain from your CTU grant letter. Example: 'CTU/GNA/2024/1547'.</t>
  </si>
  <si>
    <t>Connectivity Quantum (MW) Granted </t>
  </si>
  <si>
    <t>MW</t>
  </si>
  <si>
    <t>Connectivity quantum (in MW) as per the grant letter. Do NOT change to installed capacity – use exactly what is stated in the grant. Example: '500 MW'.</t>
  </si>
  <si>
    <t>Installed capacity as per Connectivity (MW)</t>
  </si>
  <si>
    <t>Installed capacity (MW) as per connectivity approval / design documents.</t>
  </si>
  <si>
    <t>Installed rated capacity as per models (MW)</t>
  </si>
  <si>
    <t>Installed capacity (MW) as modelled in PSS/E or PSCAD.</t>
  </si>
  <si>
    <t>Installed Capacity (in MW) with Breakup of different sources for Hybrid </t>
  </si>
  <si>
    <t>Solar/Wind/ESS etc.</t>
  </si>
  <si>
    <t>For hybrid plants, breakup capacity of each source alongwith totals (Solar MW / Wind MW / ESS MWh).Format 'Solar: &lt;X&gt; MW'., 'Wind: &lt;X&gt; MW' Source: Project capacity documents.</t>
  </si>
  <si>
    <t>Connection Details (CONN-TD 4) Quantum applied for: </t>
  </si>
  <si>
    <t>Quantum applied for under CONN-TD 4 form.</t>
  </si>
  <si>
    <t>CEA Registration Number </t>
  </si>
  <si>
    <t>CEA Registration Number as issued by Central Electricity Authority for this RE plant. Attach the CEA Registration Certificate.</t>
  </si>
  <si>
    <t>Type of RE Plant (Solar/Wind/Hybrid/with or without BESS) </t>
  </si>
  <si>
    <t>Select the appropriate type: 'Solar PV (IBR)', 'Wind (IBR)', 'Hybrid – Solar + Wind', 'Solar with BESS', etc. Be specific about IBR type and BESS inclusion.</t>
  </si>
  <si>
    <t>ISTS Station (POI bus) </t>
  </si>
  <si>
    <t>Name of ISTS substation where grid connection (POI) is established. Format: '&lt;Substation Name&gt; &lt;kV&gt;/&lt;kV&gt; ISTS'. Example: 'Bikaner 765/400 kV ISTS'.</t>
  </si>
  <si>
    <t>POI Bus Voltage </t>
  </si>
  <si>
    <t>kV</t>
  </si>
  <si>
    <t>POI Bus voltage level in kV (the voltage at the Point of Interconnection). Typical values: 400 kV, 220 kV, 132 kV. Must match SLD.</t>
  </si>
  <si>
    <t>Expected Date of First COD/Final COD </t>
  </si>
  <si>
    <t>Date</t>
  </si>
  <si>
    <t>Provide expected dates in DD-Mon-YYYY format. First COD = first unit energisation, Final COD = full plant. Example: '15-Jun-2026 / 30-Sep-2026'.</t>
  </si>
  <si>
    <t xml:space="preserve">IBR Makes / Name of OEM </t>
  </si>
  <si>
    <t>Full name of the Inverter/IBR OEM. Example: 'SMA Solar Technology AG', 'Sungrow Power Supply Co.', 'ABB Ltd.'. Must match type test report.</t>
  </si>
  <si>
    <t>Name of OEM (WTG)</t>
  </si>
  <si>
    <t>Applicable for wind plants only. Enter WTG OEM name. For pure solar, enter 'N/A (Solar only)'.</t>
  </si>
  <si>
    <t>Name of OEM (SVG)</t>
  </si>
  <si>
    <t>Applicable if SVG/STATCOM is installed. Enter OEM name. For no SVG, enter 'N/A'. Example: 'Statcon Energiaa', 'GE Grid Solutions'.</t>
  </si>
  <si>
    <t>Name of OEM (BESS/PCS)</t>
  </si>
  <si>
    <t>N/A</t>
  </si>
  <si>
    <t>Applicable if BESS/PCS is installed. Enter OEM name. For no BESS, enter 'N/A'.</t>
  </si>
  <si>
    <t>Name of OEM (PPC)</t>
  </si>
  <si>
    <t>PPC (Power Plant Controller) OEM and model. Example: 'ABB PPC-9000', 'Siemens MGMS', 'Ingeteam INGECON'. Attach OEM datasheet.</t>
  </si>
  <si>
    <t>Capacity (MVAr) &amp; Resonant ferquency of filter (1st) (if applicable)</t>
  </si>
  <si>
    <t>MVAR, Hz</t>
  </si>
  <si>
    <t>If harmonic filters are installed, enter: Reactive power rating in MVAr and resonant (tuning) frequency in Hz. Example: '25 MVAr, 150 Hz (3rd harmonic)'. Enter 'N/A' if no filter.</t>
  </si>
  <si>
    <t>Capacity (MVAr) &amp; Resonant ferquency of filter (2nd) (if applicable)</t>
  </si>
  <si>
    <t>Second harmonic filter details (if installed). Same format as Sr.18. Enter 'N/A' if not applicable.</t>
  </si>
  <si>
    <t>Capacity (MVAr) &amp; Resonant ferquency of filter (3rd) (if applicable)</t>
  </si>
  <si>
    <t>Third harmonic filter details (if installed). Enter 'N/A' if not applicable.</t>
  </si>
  <si>
    <t>SVG Rating (MVAR, if applicable)</t>
  </si>
  <si>
    <t>MVAR</t>
  </si>
  <si>
    <t>SVG rating in MVAr if installed. Specify +/- range. Example: '±60 MVAr'. Attach SVG technical datasheet. Enter 'N/A' if not installed.</t>
  </si>
  <si>
    <t>IBR Model Name/No.</t>
  </si>
  <si>
    <t>IBR model name/number as per OEM datasheet. Example: 'SMA SunCentral 2500 kVA', 'Sungrow SG3125HV'. Must match type test report.</t>
  </si>
  <si>
    <t>Rated IBR Capacity</t>
  </si>
  <si>
    <t>MVA,, Volts. Deg C</t>
  </si>
  <si>
    <t>IBR rating in format 'MVA, voltage, Temperature'. Example: '2500 kVA, 690 V, 50 deg C'. Source: OEM technical datasheet. If multiple OEMs exist, please enter their data in the same cell.</t>
  </si>
  <si>
    <t>Number of IBRs </t>
  </si>
  <si>
    <t>Total count of IBR units in the plant. Example: '200 units'. Must be consistent with total plant capacity ÷ unit rating.</t>
  </si>
  <si>
    <t>Site temperature considered for plant compliance as per CEA Procedure for assessment of the Design Temperature for RE Plants </t>
  </si>
  <si>
    <t>Degrees</t>
  </si>
  <si>
    <t>As per CEA Procedure for Design Temperature Assessment of RE Plants. Obtain from nearest IMD station data or CEA temperature map. Enter in °C. Example: '45 °C'.</t>
  </si>
  <si>
    <t>Signed CONNTD-1 submitted?</t>
  </si>
  <si>
    <t>Yes/No</t>
  </si>
  <si>
    <t>Yes</t>
  </si>
  <si>
    <t>Confirm if the signed CONN-TD 1 form has been submitted to CTU. Enter 'Yes' or 'No'.</t>
  </si>
  <si>
    <t>Steady State Scenarios for hybrid projects submitted as per CTU advisory dated 20.11.2025</t>
  </si>
  <si>
    <t>Applicable for hybrid plants only. If pure solar or pure wind, enter 'Not Applicable'. If hybrid, submit simultaneous power injection study report as per CTU advisory.</t>
  </si>
  <si>
    <t>Dynamic Scenarios for hybrid projects submitted as per CTU advisory dated 20.11.2025</t>
  </si>
  <si>
    <t>Power Quality Scenarios for hybrid projects submitted as per CTU advisory dated 20.11.2025</t>
  </si>
  <si>
    <t>Nearest Loaction of IMD Station for Power Plant</t>
  </si>
  <si>
    <t>latitude, longitude</t>
  </si>
  <si>
    <t>Coordinates of nearest IMD (India Meteorological Department) station used for temperature data. Format: 'DD.DDNB, DD.DDE'. Example: '27.25N, 73.01E'. Source: IMD station reference document.</t>
  </si>
  <si>
    <t>CEA Site Temperature at the location</t>
  </si>
  <si>
    <t>deg Celsius</t>
  </si>
  <si>
    <t>The Applicant is required to fill in yellow-highlighted cells only. All remaining fields are system-locked and pre-populated for reference.</t>
  </si>
  <si>
    <t>⚠  IMPORTANT DISCLAIMER — INDICATIVE SHEET ONLY
This workbook is prepared as an indicative checklist to assist the Applicant/Developer in organising submission data for CTU/Grid-India CON4 compliance. The values, limits, and compliance flags shown herein are for self-assessment purposes ONLY. Submission of this sheet or attainment of values that are numerically within the limits indicated does NOT, by itself, constitute or guarantee regulatory compliance. Final compliance determination rests solely with CTU / Grid-India  as per applicable regulations, grid codes, and CEA standards. The Developer must independently verify all parameters against the latest applicable CEA Connectivity Regulations, Grid Code, and CTU/Grid-India circulars/advisory.</t>
  </si>
  <si>
    <t>Steady State Simulation Results for Renewable Energy Sources</t>
  </si>
  <si>
    <t>Sl No</t>
  </si>
  <si>
    <t>Description</t>
  </si>
  <si>
    <t>Voltage at POI</t>
  </si>
  <si>
    <t>Mathematical Notation</t>
  </si>
  <si>
    <t>Lower Limit</t>
  </si>
  <si>
    <t>Upper Limit</t>
  </si>
  <si>
    <t>Ref Document Name</t>
  </si>
  <si>
    <t>Page number of the document</t>
  </si>
  <si>
    <t>Maximum(Peak) Transformer Loading Observed Across All Simulation Scenarios wrt Name Plate Rating</t>
  </si>
  <si>
    <t>%</t>
  </si>
  <si>
    <t>Maximum transformer (power transformer / ICT) loading across ALL PSS/E load flow scenarios. Enter in %. Limit: ≤100%.Source: PSS/E LF Report.</t>
  </si>
  <si>
    <t>Maximum IDT/Lines/Cables Loading of all Cases  wrt Name Plate Rating</t>
  </si>
  <si>
    <t>Maximum IBR unit transformer (IDT) loading w.r.t. nameplate rating across all cases. Enter in %. Limit: ≤100%.  Source: PSS/E LF Report.</t>
  </si>
  <si>
    <t>Maximum Loading Power Cables/Distribution Lines of all Cases  wrt Name Plate Rating</t>
  </si>
  <si>
    <t>Maximum % loading of any power cable or distribution line in the internal plant network across all load flow scenarios. Limit: ≤100%. Source: PSS/E Load Flow Report.</t>
  </si>
  <si>
    <t>Maximum Inverter/WTG Loading at site temperature as per CEA Procedure</t>
  </si>
  <si>
    <t>MVA</t>
  </si>
  <si>
    <t>Maximum inverter/WTG MVA output considering temperature derating at site temperature (as per CEA procedure). Enter in MVA. Source: CEA Temperature Procedure + PSS/E model.</t>
  </si>
  <si>
    <t>Maximum Voltage Observed at Plant bus</t>
  </si>
  <si>
    <t>p.u.</t>
  </si>
  <si>
    <t>Maximum voltage (p.u.) observed at the plant POI bus across all steady-state scenarios. Limit: ≤1.05 p.u. Check especially at light load / leading PF conditions. Source: PSS/E LF Report.</t>
  </si>
  <si>
    <t>Minimum Voltage Observed at Plant bus</t>
  </si>
  <si>
    <t>Minimum voltage (p.u.) observed at plant POI bus across all scenarios. Limit: ≥0.95 p.u. Check especially at full load lagging PF. Source: PSS/E LF Report.</t>
  </si>
  <si>
    <r>
      <t xml:space="preserve">Reactive Power Injection in pu(100MVA base) at PoI,  </t>
    </r>
    <r>
      <rPr>
        <b/>
        <sz val="9"/>
        <color rgb="FF1F3864"/>
        <rFont val="Arial"/>
        <family val="2"/>
      </rPr>
      <t>Unity PF, Voltage at POI 1.0 pu</t>
    </r>
  </si>
  <si>
    <t>Q_POI</t>
  </si>
  <si>
    <t>Net reactive power injection at POI (100 MVA base) for Unity PF, 1.0 pu voltage scenario. Expected: ≈0.00 p.u. (since unity PF means no reactive injection). Source: PSS/E LF case output.</t>
  </si>
  <si>
    <t>Unity PF, Voltage at POI 1.0 pu(plant level): Inverter P(pu)</t>
  </si>
  <si>
    <t>P_INV</t>
  </si>
  <si>
    <t>Inverter active power output (p.u. on 100 MVA base) for Unity PF, 1.0 pu voltage case Source: PSS/E load flow output.</t>
  </si>
  <si>
    <t>Unity PF, Voltage at POI 1.0 pu: Inverter Q(pu)</t>
  </si>
  <si>
    <t>Q_INV</t>
  </si>
  <si>
    <t>Inverter reactive power output (p.u.) for Unity PF, 1.0 pu voltage case Source: PSS/E load flow output.</t>
  </si>
  <si>
    <t>Unity PF, Voltage at POI 1.0 pu: SVG Q(pu)</t>
  </si>
  <si>
    <t>Q_SVG</t>
  </si>
  <si>
    <t>SVG reactive power (p.u.) for Unity PF, 1.0 pu voltage case.Source: PSS/E load flow output.</t>
  </si>
  <si>
    <t>Unity PF, Voltage at POI 1.0 pu: WTG P(pu)</t>
  </si>
  <si>
    <t>P_WTG</t>
  </si>
  <si>
    <t>WTG active power (p.u.) for Unity PF, 1.0 pu case. Enter 'N/A' if no WTG (pure solar). Source: PSS/E output.</t>
  </si>
  <si>
    <t>Unity PF, Voltage at POI 1.0 pu: WTG Q(pu)</t>
  </si>
  <si>
    <t>Q_WTG</t>
  </si>
  <si>
    <t>WTG reactive power (p.u.) for Unity PF, 1.0 pu case. Enter 'N/A' if no WTG. Source: PSS/E output.</t>
  </si>
  <si>
    <r>
      <t xml:space="preserve">Reactive Power Injection in pu(100MVA base) at PoI,  </t>
    </r>
    <r>
      <rPr>
        <b/>
        <sz val="9"/>
        <color rgb="FF1F3864"/>
        <rFont val="Arial"/>
        <family val="2"/>
      </rPr>
      <t>Unity PF, Voltage at POI 0.95 pu</t>
    </r>
  </si>
  <si>
    <t>Net Q at POI for Unity PF, 0.95 pu voltage scenario. Expected: ≈0.00 p.u. Source: PSS/E LF output. Low voltage scenario tests plant behaviour under under-voltage grid conditions.</t>
  </si>
  <si>
    <t>Unity PF, Voltage at POI 0.95 pu: Inverter P(pu)</t>
  </si>
  <si>
    <t>Inverter P for Unity PF, 0.95 pu POI voltage scenario. Source: PSS/E output.</t>
  </si>
  <si>
    <t>Unity PF, Voltage at POI 0.95 pu: Inverter Q(pu)</t>
  </si>
  <si>
    <t>Inverter Q for Unity PF, 0.95 pu voltage. Should be ≈0 (unity PF). Source: PSS/E output.</t>
  </si>
  <si>
    <t>Unity PF, Voltage at POI 0.95 pu: SVG P(pu)</t>
  </si>
  <si>
    <t>0.000</t>
  </si>
  <si>
    <t>SVG P for Unity PF, 0.95 pu voltage. Source: PSS/E output.</t>
  </si>
  <si>
    <t>Unity PF, Voltage at POI 0.95 pu: SVG Q(pu)</t>
  </si>
  <si>
    <t>SVG Q for Unity PF, 0.95 pu voltage. Source: PSS/E output.</t>
  </si>
  <si>
    <t>Unity PF, Voltage at POI 0.95 pu: WTG P(pu)</t>
  </si>
  <si>
    <t>0.001</t>
  </si>
  <si>
    <t>WTG P for Unity PF, 0.95 pu voltage. 'N/A' for solar. Source: PSS/E output.</t>
  </si>
  <si>
    <t>Unity PF, Voltage at POI 0.95 pu: WTG Q(pu)</t>
  </si>
  <si>
    <t>WTG Q for Unity PF, 0.95 pu voltage. 'N/A' for solar. Source: PSS/E output.</t>
  </si>
  <si>
    <r>
      <t xml:space="preserve">Reactive Power Injection in pu(100MVA base) at PoI,  </t>
    </r>
    <r>
      <rPr>
        <b/>
        <sz val="9"/>
        <color rgb="FF1F3864"/>
        <rFont val="Arial"/>
        <family val="2"/>
      </rPr>
      <t>0.95 Lagging, Voltage at POI 0.95 pu</t>
    </r>
  </si>
  <si>
    <t>Net Q at POI for 0.95 Lag, 0.95 pu voltage. Enter actual simulation value. The low voltage condition stresses reactive capability. Source: PSS/E LF output.</t>
  </si>
  <si>
    <t xml:space="preserve"> 0.95 Lagging, Voltage at POI 0.95 pu: Inverter P(pu)</t>
  </si>
  <si>
    <t>Inverter P for 0.95 Lag, 0.95 pu case. Source: PSS/E output.</t>
  </si>
  <si>
    <t xml:space="preserve"> 0.95 Lagging, Voltage at POI 0.95 pu: Inverter Q(pu)</t>
  </si>
  <si>
    <t>Inverter Q for 0.95 Lag, 0.95 pu case. Should be ≈+0.329 p.u. Source: PSS/E output.</t>
  </si>
  <si>
    <t xml:space="preserve"> 0.95 Lagging, Voltage at POI 0.95 pu: SVG P(pu)</t>
  </si>
  <si>
    <t>SVG P for 0.95 Lag, 0.95 pu case. Source: PSS/E output.</t>
  </si>
  <si>
    <t xml:space="preserve"> 0.95 Lagging, Voltage at POI 0.95 pu: SVG Q(pu)</t>
  </si>
  <si>
    <t>SVG Q for 0.95 Lag, 0.95 pu case. Source: PSS/E output.</t>
  </si>
  <si>
    <t xml:space="preserve"> 0.95 Lagging, Voltage at POI 0.95 pu: WTG P(pu)</t>
  </si>
  <si>
    <t>WTG P for 0.95 Lag, 0.95 pu case. 'N/A' for solar. Source: PSS/E output.</t>
  </si>
  <si>
    <t xml:space="preserve"> 0.95 Lagging, Voltage at POI 0.95 pu: WTG Q(pu)</t>
  </si>
  <si>
    <t>WTG Q for 0.95 Lag, 0.95 pu case. 'N/A' for solar. Source: PSS/E output.</t>
  </si>
  <si>
    <r>
      <t xml:space="preserve">Reactive Power Injection in pu(100MVA base) at PoI,  </t>
    </r>
    <r>
      <rPr>
        <b/>
        <sz val="9"/>
        <color rgb="FF1F3864"/>
        <rFont val="Arial"/>
        <family val="2"/>
      </rPr>
      <t>0.95 Lagging, Voltage at POI 1.0 pu</t>
    </r>
  </si>
  <si>
    <t>Net reactive power injection at POI (p.u., 100 MVA base) for 0.95 Lagging PF, 1.0 pu voltage. Expected: ≈+0.3286 p.u. (≈328.6 MVAr for 1000 MW plant). Must meet CEA reactive power requirement.</t>
  </si>
  <si>
    <t>0.95 Lagging, Voltage at POI 1.0 pu: Inverter P(pu)</t>
  </si>
  <si>
    <t>Inverter active power (p.u.) for 0.95 Lag, 1.0 pu case. Expected: ≈0.990 p.u. Source: PSS/E LF output.</t>
  </si>
  <si>
    <t>0.95 Lagging, Voltage at POI 1.0 pu: Inverter Q(pu)</t>
  </si>
  <si>
    <t>Inverter reactive power injection (p.u.) for 0.95 Lag case. Expected: ≈+0.329 p.u. Source: PSS/E LF output. Positive = capacitive (lagging current = leading reactive power injection).</t>
  </si>
  <si>
    <t>0.95 Lagging, Voltage at POI 1.0 pu: SVG Q(pu)</t>
  </si>
  <si>
    <t>SVG reactive power for 0.95 Lag case. Enter actual value from PSS/E. May be 0 if SVG not dispatched. Source: PSS/E output.</t>
  </si>
  <si>
    <t>0.95 Lagging, Voltage at POI 1.0 pu: WTG P(pu)</t>
  </si>
  <si>
    <t>WTG active power for 0.95 Lag case. Enter 'N/A' if pure solar. Source: PSS/E output.</t>
  </si>
  <si>
    <t>0.95 Lagging, Voltage at POI 1.0 pu: WTG Q(pu)</t>
  </si>
  <si>
    <t>WTG reactive power for 0.95 Lag case. Enter 'N/A' if pure solar. Source: PSS/E output.</t>
  </si>
  <si>
    <r>
      <t xml:space="preserve">Reactive Power Injection in pu(100MVA base) at PoI,  </t>
    </r>
    <r>
      <rPr>
        <b/>
        <sz val="9"/>
        <color rgb="FF1F3864"/>
        <rFont val="Arial"/>
        <family val="2"/>
      </rPr>
      <t>Unity pf , Voltage at POI 1.05 pu</t>
    </r>
  </si>
  <si>
    <t>Net Q at POI for Unity PF, 1.05 pu voltage. Expected: ≈0.00 p.u. High voltage scenario – verify plant does not over-inject reactive power. Source: PSS/E output.</t>
  </si>
  <si>
    <t>Unity PF, Voltage at POI 1.05 pu: Inverter P(pu)</t>
  </si>
  <si>
    <t>Inverter P for Unity PF, 1.05 pu case. Source: PSS/E output.</t>
  </si>
  <si>
    <t>Unity PF, Voltage at POI 1.05 pu: Inverter Q(pu)</t>
  </si>
  <si>
    <t>Inverter Q for Unity PF, 1.05 pu case. Should be ≈0. Source: PSS/E output.</t>
  </si>
  <si>
    <t>Unity PF, Voltage at POI 1.05 pu: SVG Q(pu)</t>
  </si>
  <si>
    <t>SVG Q for Unity PF, 1.05 pu case. Source: PSS/E output.</t>
  </si>
  <si>
    <t>Unity PF, Voltage at POI 1.05 pu: WTG P(pu)</t>
  </si>
  <si>
    <t>WTG P for Unity PF, 1.05 pu case. 'N/A' for solar. Source: PSS/E output.</t>
  </si>
  <si>
    <t>Unity PF, Voltage at POI 1.05 pu: WTG Q(pu)</t>
  </si>
  <si>
    <t>WTG Q for Unity PF, 1.05 pu case. 'N/A' for solar. Source: PSS/E output.</t>
  </si>
  <si>
    <r>
      <t xml:space="preserve">Reactive Power Injection in pu(100MVA base) at PoI,  </t>
    </r>
    <r>
      <rPr>
        <b/>
        <sz val="9"/>
        <color rgb="FF1F3864"/>
        <rFont val="Arial"/>
        <family val="2"/>
      </rPr>
      <t>0.95 leading , Voltage at POI 1.05 pu</t>
    </r>
  </si>
  <si>
    <t>Net Q at POI for 0.95 Lead, 1.05 pu voltage. Expected: ≈−0.3286 p.u. This is the most demanding reactive absorption case. Source: PSS/E output.</t>
  </si>
  <si>
    <t>0.95 Leading, Voltage at POI 1.05 pu: Inverter P(pu)</t>
  </si>
  <si>
    <t>Inverter P for 0.95 Lead, 1.05 pu case. Source: PSS/E output.</t>
  </si>
  <si>
    <t>0.95 Leading, Voltage at POI 1.05 pu: Inverter Q(pu)</t>
  </si>
  <si>
    <t>Inverter Q for 0.95 Lead, 1.05 pu case. Should be ≈−0.329 p.u. (absorption). Source: PSS/E output.</t>
  </si>
  <si>
    <t>0.95 Leading, Voltage at POI 1.05 pu: SVG Q(pu)</t>
  </si>
  <si>
    <t>SVG Q for 0.95 Lead, 1.05 pu case. Source: PSS/E output.</t>
  </si>
  <si>
    <t>0.95 Leading, Voltage at POI 1.05 pu: WTG P(pu)</t>
  </si>
  <si>
    <t>WTG P for 0.95 Lead, 1.05 pu case. 'N/A' for solar. Source: PSS/E output.</t>
  </si>
  <si>
    <t>0.95 Leading, Voltage at POI 1.05 pu: WTG Q(pu)</t>
  </si>
  <si>
    <t>WTG Q for 0.95 Lead, 1.05 pu case. 'N/A' for solar. Source: PSS/E output.</t>
  </si>
  <si>
    <r>
      <t xml:space="preserve">Reactive Power Injection in pu(100MVA base) at PoI,  </t>
    </r>
    <r>
      <rPr>
        <b/>
        <sz val="9"/>
        <color rgb="FF1F3864"/>
        <rFont val="Arial"/>
        <family val="2"/>
      </rPr>
      <t>0.95 Leading, Voltage at POI 1.0 pu</t>
    </r>
  </si>
  <si>
    <t>Net reactive power at POI for 0.95 Leading PF, 1.0 pu case. Expected: ≈−0.3286 p.u. (absorption). Must demonstrate plant can absorb full reactive power requirement.</t>
  </si>
  <si>
    <t>0.95 Leading, Voltage at POI 1.0 pu: Inverter P(pu)</t>
  </si>
  <si>
    <t>Inverter active power for 0.95 Lead case. Expected: ≈0.990 p.u. Source: PSS/E output.</t>
  </si>
  <si>
    <t>0.95 Leading, Voltage at POI 1.0 pu: Inverter Q(pu)</t>
  </si>
  <si>
    <t>Inverter reactive power for 0.95 Lead case. Expected: ≈−0.329 p.u. (negative = absorption). Source: PSS/E output.</t>
  </si>
  <si>
    <t>0.95 Leading, Voltage at POI 1.0 pu: SVG Q(pu)</t>
  </si>
  <si>
    <t>SVG reactive power for 0.95 Lead case. Source: PSS/E output.</t>
  </si>
  <si>
    <t>0.95 Leading, Voltage at POI 1.0 pu: WTG P(pu)</t>
  </si>
  <si>
    <t>WTG active power for 0.95 Lead case. 'N/A' for solar. Source: PSS/E output.</t>
  </si>
  <si>
    <t>0.95 Leading, Voltage at POI 1.0 pu: WTG Q(pu)</t>
  </si>
  <si>
    <t>WTG reactive power for 0.95 Lead case. 'N/A' for solar. Source: PSS/E output.</t>
  </si>
  <si>
    <t>Power Transformer Tap position</t>
  </si>
  <si>
    <t xml:space="preserve">Tap-Position </t>
  </si>
  <si>
    <t>Tap 1</t>
  </si>
  <si>
    <t>Power transformer tap position used in PSS/E simulations. Must match physical tap setting. Typically 'Tap 1' = nominal. Preferred to remain constant across all scenarios unless otherwise justified.</t>
  </si>
  <si>
    <t>DTL configuration is as per intimation</t>
  </si>
  <si>
    <t>Y/N</t>
  </si>
  <si>
    <t>NA</t>
  </si>
  <si>
    <t>Confirm DTL (Dedicated Transmission Line) configuration in PSS/E model matches CTU's intimation/connectivity approval. Enter 'Yes' or 'No'. Deviations are not allowed.</t>
  </si>
  <si>
    <t xml:space="preserve">Inverter P &amp; Q operating points has been kept same </t>
  </si>
  <si>
    <t>Confirm inverter P and Q operating points are set identically for given scenario. Not the condition for compliance, but for the information.  Enter 'Yes' or 'No'. Inconsistency causes comparison errors.</t>
  </si>
  <si>
    <t>Technical Data Requirement for Renewable Sources</t>
  </si>
  <si>
    <t>Submission Status  (Submitted)</t>
  </si>
  <si>
    <t xml:space="preserve"> Technical Details - IBR Unit</t>
  </si>
  <si>
    <t>Technical Datasheet </t>
  </si>
  <si>
    <t>Reactive Power Capability Curve (PQ, VQ curve) </t>
  </si>
  <si>
    <t>Temperature Derating PQ Curve </t>
  </si>
  <si>
    <t>Operator Manual of IBR unit(s) </t>
  </si>
  <si>
    <t>Proposed Protection Settings of IBR unit (in accordance with Grid-India's FTE&amp;I procedure) </t>
  </si>
  <si>
    <t>Actual Protection Settings of IBR unit (in accordance with Grid-India's FTE&amp;I procedure) </t>
  </si>
  <si>
    <t>Single Line Diagram </t>
  </si>
  <si>
    <t>RE Pooling Station Switchyard (should include 220 kV, 33kV, IBR level SLD) </t>
  </si>
  <si>
    <t>Proposed Geographical SLD (shall comprise lengths, location of IBRs, conductor type, rating)  </t>
  </si>
  <si>
    <t>Equipment details </t>
  </si>
  <si>
    <t>Technical Datasheet of IBR unit transformer (IDT)</t>
  </si>
  <si>
    <t>Upload manufacturer-provided technical datasheets. Ensure documents are in English and cover ratings, performance curves, and protection settings.</t>
  </si>
  <si>
    <t>Nameplate of the IBR unit transformer </t>
  </si>
  <si>
    <t>Technical Datasheet of Power transformer </t>
  </si>
  <si>
    <t>Nameplate of the Power transformer </t>
  </si>
  <si>
    <t>Technical Datasheet of cables </t>
  </si>
  <si>
    <t>Technical Datasheet of overhead conductors </t>
  </si>
  <si>
    <t>Power Plant Controller (PPC)_MASTER </t>
  </si>
  <si>
    <t>PPC Model &amp; Make </t>
  </si>
  <si>
    <t>Technical Datasheet of PPC </t>
  </si>
  <si>
    <t>Functional description of the PPC and technical functionality document </t>
  </si>
  <si>
    <t>Operator manual of PPC </t>
  </si>
  <si>
    <t>Proposed protection setting and control mode of PPC </t>
  </si>
  <si>
    <t>Power Plant Controller (PPC)_SLAVE (if applicable) </t>
  </si>
  <si>
    <t>Technical Details of SVG </t>
  </si>
  <si>
    <t>Technical Datasheet of SVG </t>
  </si>
  <si>
    <t>Control Philosophy document of SVG </t>
  </si>
  <si>
    <t>Operator Manual of the SVG </t>
  </si>
  <si>
    <t>Upload manufacturer-provided Operational Manual. Ensure documents are in English and cover ratings, performance curves, and protection settings.</t>
  </si>
  <si>
    <t>Nameplate of SVG </t>
  </si>
  <si>
    <t>Line Length</t>
  </si>
  <si>
    <t>Type Certification</t>
  </si>
  <si>
    <t xml:space="preserve">These are type test / certification reports from accredited labs. For each test, attach the full test report PDF. </t>
  </si>
  <si>
    <t>Type Certificate of single WTG Unit(s)</t>
  </si>
  <si>
    <t>Type Test Report for Inverter / WTG (Tests to be covered as per CEA Connectivity Standards)</t>
  </si>
  <si>
    <t>PQ Capability Test</t>
  </si>
  <si>
    <t>Capable to operate in frequency range: 47.5 Hz to 52 Hz with +/-5% voltage variation</t>
  </si>
  <si>
    <t>Capable to provide rated output in frequency range of 49.5 Hz to 50.5 Hz with +/-5% voltage variation</t>
  </si>
  <si>
    <t xml:space="preserve">LVRT (Shall include details of Id &amp; Iq calculation principles for LVRT &amp; HVRT) </t>
  </si>
  <si>
    <t>Active power control feature and Rate of change of active power</t>
  </si>
  <si>
    <t>Primary Frequency Response (PFR)</t>
  </si>
  <si>
    <t>Immediate (within 1 second) real power primary frequency response of at least 10% of the maximum Alternating Current active power capacity for frequency deviation in excess of 0.3 Hz</t>
  </si>
  <si>
    <t>HVRT</t>
  </si>
  <si>
    <t>Evaluation Report on Test Reports of IBR  Units</t>
  </si>
  <si>
    <t>Statement of Compliance of IBR Unit</t>
  </si>
  <si>
    <t>Test Reports for SVG/STATCOM Unit(s) - If installed</t>
  </si>
  <si>
    <t>Capable to provide rated output in frequency range of 49.5Hz to 50.5Hz with +/-5% voltage variation</t>
  </si>
  <si>
    <t>Evaluation Report on Test Reports of SVG/STATCOM Unit(s)</t>
  </si>
  <si>
    <t>Statement of Compliance of SVG/STATCOM Unit(s)</t>
  </si>
  <si>
    <t>Unit level technical datasheet ( including  Irradiance Vs Power characteristics:Efficiency curve)</t>
  </si>
  <si>
    <t xml:space="preserve">OEM-provided unit-level model files and reports for the inverter/IBR. </t>
  </si>
  <si>
    <t>Unit level Reactive power Capability curve alongwith temperature derating curve &amp; QV curve</t>
  </si>
  <si>
    <t>OEM-provided unit-level model files and reports for the inverter/IBR.</t>
  </si>
  <si>
    <t>Unit level Statement of Compliance (if applicable)</t>
  </si>
  <si>
    <t>Unit level Evaluation report (if applicable)</t>
  </si>
  <si>
    <t>Unit level Test report</t>
  </si>
  <si>
    <t>Unit level  PSCAD User manual</t>
  </si>
  <si>
    <t>Unit level benchmarking report (PSS/E)</t>
  </si>
  <si>
    <t>Unit level benchmarking report (PSCAD)</t>
  </si>
  <si>
    <t>Unit level comparison report (PSS/E,PSCAD &amp; Test results)</t>
  </si>
  <si>
    <t>Technical datasheet</t>
  </si>
  <si>
    <t>PQ Capability curve alongwith derating curve</t>
  </si>
  <si>
    <t>Unit level Evaluation report(if applicable)</t>
  </si>
  <si>
    <t>Operator Manual of SVG unit(s) </t>
  </si>
  <si>
    <t>Unit level Statement of Compliance</t>
  </si>
  <si>
    <t>Unit level Evaluation report</t>
  </si>
  <si>
    <t>Operator Manual of WTG</t>
  </si>
  <si>
    <t xml:space="preserve">Unit level technical datasheet </t>
  </si>
  <si>
    <t>Operator Manual of BESS/PCS unit(s) </t>
  </si>
  <si>
    <t>Unit level comparison report (PSS/E, PSCAD &amp; Test results)</t>
  </si>
  <si>
    <t>PPC PSCAD user manual</t>
  </si>
  <si>
    <t>Plant specific PPC methodology</t>
  </si>
  <si>
    <t>PPC Hardware-In-Loop Test Report (if available)</t>
  </si>
  <si>
    <t xml:space="preserve">Steady State Simulation Report </t>
  </si>
  <si>
    <t xml:space="preserve">PSSE Dynamic Simulation Report </t>
  </si>
  <si>
    <t xml:space="preserve">Power Quality Simulation Report </t>
  </si>
  <si>
    <t>PSCAD Dynamic Simulation Report</t>
  </si>
  <si>
    <t>PSSE &amp; PSCAD comparision Report</t>
  </si>
  <si>
    <t>Steady State file name for detailed model (.SAV) : Voltage = 1.0 , 0.95 lag</t>
  </si>
  <si>
    <t>Steady State file name for detailed model (.SAV) :Voltage = 0.95 , 0.95 lag</t>
  </si>
  <si>
    <t>Steady State file name for detailed model (.SAV) :Voltage = 1.05, UPF</t>
  </si>
  <si>
    <t>Steady State file name for detailed model (.SAV) :Voltage = 1.0, UPF</t>
  </si>
  <si>
    <t>Steady State file name for detailed model (.SAV) :Voltage = 0.95, UPF</t>
  </si>
  <si>
    <t>Steady State file name for detailed model (.SAV) :Voltage = 1.0 , 0.95 lead</t>
  </si>
  <si>
    <t>Steady State file name for detailed model (.SAV) :Voltage = 1.05 , 0.95 lead</t>
  </si>
  <si>
    <t>Steady State file name for aggregated model (.SAV) : Active Power=1.0pu,Voltage = 1.0 , 0.95 lag</t>
  </si>
  <si>
    <t>Steady State file name for aggregated model (.SAV) : Active Power=1.0pu, Voltage = 1.0 , 0.95 lead</t>
  </si>
  <si>
    <t>Steady State file name for aggregated model (.SAV) : Active Power=1.0pu, Voltage = 1.0, Q=UPF</t>
  </si>
  <si>
    <t>Steady State file name for aggregated model (.SAV) : Active Power=0.9pu, Voltage = 1.0, Q=UPF</t>
  </si>
  <si>
    <t>Steady State file name for aggregatedmodel (.SAV) : Active Power=0.5pu, Voltage = 1.0, Q=UPF</t>
  </si>
  <si>
    <t>Steady State file name for aggregated model (.SAV) : Active Power=0.25pu, Voltage = 1.0, Q=UPF</t>
  </si>
  <si>
    <t>Steady State file name for aggregated model (.SAV) :  Active Power=0.10pu, Voltage = 1.0, Q=UPF</t>
  </si>
  <si>
    <t>NCSFC for Short-Circuit analysis (.SEQ) -PSSE</t>
  </si>
  <si>
    <t>Plant level dynamic file name for equivalent model(.DYR) - PSSE</t>
  </si>
  <si>
    <t>Power Quality files (.pscx/.pswx) - PSCAD</t>
  </si>
  <si>
    <t>Plant level detailed model for power quality studies (active power = 10%) - PSCAD</t>
  </si>
  <si>
    <t>Plant level detailed model for power quality studies  (active power = 20%) - PSCAD</t>
  </si>
  <si>
    <t>Plant level detailed model for power quality studies (active power = 30%) - PSCAD</t>
  </si>
  <si>
    <t>Plant level detailed model for power quality studies (active power = 40%) - PSCAD</t>
  </si>
  <si>
    <t>Plant level detailed model for power quality studies (active power = 50%) - PSCAD</t>
  </si>
  <si>
    <t>Plant level detailed model for power quality studies (active power = 60%) - PSCAD</t>
  </si>
  <si>
    <t>Plant level detailed model for power quality studies (active power = 70%) - PSCAD</t>
  </si>
  <si>
    <t>Plant level detailed model for power quality studies (active power = 80%) - PSCAD</t>
  </si>
  <si>
    <t>Plant level detailed model for power quality studies (active power = 90%) - PSCAD</t>
  </si>
  <si>
    <t>Plant level detailed model for power quality studies (active power = 100%) - PSCAD</t>
  </si>
  <si>
    <t>Power Quality Harmonic Injection file/folder name (.txt) - PSCAD Requirement</t>
  </si>
  <si>
    <t>Dynamic EMT model file name (.pscx/.pswx) - PSCAD</t>
  </si>
  <si>
    <t>Resource folder name(s) as applicable for (.obj/.f/.lib etc) - PSCAD</t>
  </si>
  <si>
    <t>Python files for RMS Simulation Batch Processing</t>
  </si>
  <si>
    <t>Python files for EMT Simulation Batch Processing</t>
  </si>
  <si>
    <t>Power Quality Requirement for Renewable Energy Sources</t>
  </si>
  <si>
    <t>Harmonic Category</t>
  </si>
  <si>
    <t>Ref Document-1</t>
  </si>
  <si>
    <t>Page number of the document-Ref-1</t>
  </si>
  <si>
    <t>Short circuit level received input from CTU/RLDC</t>
  </si>
  <si>
    <t>SCMVA_grid</t>
  </si>
  <si>
    <t>Short circuit data from CTU</t>
  </si>
  <si>
    <t xml:space="preserve">Short Circuit Level (SCL) at POI in MVA. Obtain this value from CTU/RLDC via a formal letter or email. Do NOT estimate. Enter the value from CTU SCL communication. </t>
  </si>
  <si>
    <t>Thevenin Impedance Received from CTU/RLDC</t>
  </si>
  <si>
    <t>Zgrid</t>
  </si>
  <si>
    <t>Ohm</t>
  </si>
  <si>
    <t>Thevenin impedance at POI received from CTU/RLDC. Enter in complex form: 'R+jX Ohm'. Example: '3+4J'. Source: CTU SCL communication letter or email. Required for harmonic load flow setup.</t>
  </si>
  <si>
    <t>Harmonic current injections are as per test report (PSCAD model)</t>
  </si>
  <si>
    <t>8</t>
  </si>
  <si>
    <t>PSCAD model harmonics within limits</t>
  </si>
  <si>
    <t>Verify that harmonic current injections used in the PSCAD model match the type test report data for each 10% power bin. Enter 'Yes' if verified, 'No' if not. Attach Harmonic Study Report.</t>
  </si>
  <si>
    <t>Harmonic load flow achieved or solved</t>
  </si>
  <si>
    <t>No</t>
  </si>
  <si>
    <t>10</t>
  </si>
  <si>
    <t>Harmonic LF converged</t>
  </si>
  <si>
    <t>Confirm the harmonic load flow simulation converged (solved). Enter 'Yes' if converged, 'No' if diverged. If 'No', revise model and re-run. Attach final converged study report.</t>
  </si>
  <si>
    <t>Unit level test report contain harmonic spectrum for each 10% active power bin</t>
  </si>
  <si>
    <t>Type Test Report.pdf</t>
  </si>
  <si>
    <t>22</t>
  </si>
  <si>
    <t>Spectra for each 10% power bin</t>
  </si>
  <si>
    <t>Confirm the unit-level type test report contains harmonic spectrum (current THD at each harmonic order) for each 10% power bin from 10% to 100%. Enter 'Yes' or 'No'. Mandatory per CEA Connectivity Standards.</t>
  </si>
  <si>
    <t>Maximum Harmonic Current Distortion (TDD)</t>
  </si>
  <si>
    <t>TDD (max)</t>
  </si>
  <si>
    <t>14</t>
  </si>
  <si>
    <t>Below 1.5% limit ✓</t>
  </si>
  <si>
    <t>Enter the maximum Total Demand Distortion (TDD) value observed in harmonic load flow study as a percentage. Limit: ≤1.5%. Example: 1.1%. Source: PSCAD harmonic study report. Must be below limit.</t>
  </si>
  <si>
    <t>TDD- 2, 4, 6 : Maximum Observed Among All Cases</t>
  </si>
  <si>
    <t>h = 2,4,6</t>
  </si>
  <si>
    <t>Below 0.5% limit ✓</t>
  </si>
  <si>
    <t xml:space="preserve">TDD for even harmonics (orders 2, 4, 6). Enter value in %. Limit: ≤0.5%. Source: Harmonic Study Report. </t>
  </si>
  <si>
    <t>TDD - 2≤h&lt;11(except 2, 4 &amp; 6) :  Maximum Observed Among All Cases</t>
  </si>
  <si>
    <t>2&lt; h &lt;11 (except for 2,4,6)</t>
  </si>
  <si>
    <t>Below 1.0% limit ✓</t>
  </si>
  <si>
    <t>TDD for harmonic orders 2 ≤ h &lt; 11. Enter value in %. CEA Limit: ≤1.0%. Source: Harmonic Study Report. Example: 0.7%.</t>
  </si>
  <si>
    <t>TDD - 11≤h&lt;17 :  Maximum Observed Among All Cases</t>
  </si>
  <si>
    <t>11≤h&lt;17</t>
  </si>
  <si>
    <t>TDD for harmonic orders 11 ≤ h &lt; 17. Enter value in %. CEA Limit: ≤0.5%. Source: Harmonic Study Report. Example: 0.3%.</t>
  </si>
  <si>
    <t>TDD - 17≤h&lt;23 :  Maximum Observed Among All Cases</t>
  </si>
  <si>
    <t>17≤h&lt;23</t>
  </si>
  <si>
    <t>Below 0.38% limit ✓</t>
  </si>
  <si>
    <t>TDD for harmonic orders 17 ≤ h &lt; 23. Enter value in %. CEA Limit: ≤0.38%. Source: Harmonic Study Report. Example: 0.22%.</t>
  </si>
  <si>
    <t>TDD - 23≤h&lt;35 :  Maximum Observed Among All Cases</t>
  </si>
  <si>
    <t>23≤h&lt;35</t>
  </si>
  <si>
    <t>Below 0.1% limit ✓</t>
  </si>
  <si>
    <t>TDD for harmonic orders 23 ≤ h &lt; 35. Enter value in %. CEA Limit: ≤0.15%. Source: Harmonic Study Report. Example: 0.06%.</t>
  </si>
  <si>
    <t>TDD - 35≤h&lt;50 :  Maximum Observed Among All Cases</t>
  </si>
  <si>
    <t>35≤h&lt;50</t>
  </si>
  <si>
    <t>h&gt;=35 band – no limit defined</t>
  </si>
  <si>
    <t>TDD for harmonic orders 35 ≤ h &lt; 50. Enter value in %. CEA Limit: ≤0.10%. Source: Harmonic Study Report. Typically very small (&lt; 0.05%).</t>
  </si>
  <si>
    <t>DC Injection Current Observed :  Maximum Observed Among All Cases</t>
  </si>
  <si>
    <t>h = 0 (DC)</t>
  </si>
  <si>
    <t>5</t>
  </si>
  <si>
    <t>DC Current Injection as a percentage of rated AC current at POI. CEA Limit: ≤0.5%. Verify from type test report or simulation. Example: 0.18%. Source: DC Injection Test Report.</t>
  </si>
  <si>
    <t>Flicker - Short Term Limit</t>
  </si>
  <si>
    <t>Flicker (St)</t>
  </si>
  <si>
    <t>12</t>
  </si>
  <si>
    <t>Pst = 0.52 ≤ 0.8 ✓</t>
  </si>
  <si>
    <t>Short-Term Flicker severity index (Pst) at POI. CEA Limit: Pst ≤ 1.0.Source: Flicker measurement or calculation/simulation report.</t>
  </si>
  <si>
    <t>Flicker - Long Term Limit</t>
  </si>
  <si>
    <t>Flicker (Lt)</t>
  </si>
  <si>
    <t>Plt = 0.41 ≤ 0.6 ✓</t>
  </si>
  <si>
    <t>Long-Term Flicker severity index (Plt) at POI. CEA Limit: Plt ≤ 0.8. Typical value: 0.3–0.5. Source: Flicker test/simulation report.</t>
  </si>
  <si>
    <t>Voltage Unbalance</t>
  </si>
  <si>
    <t>Voltage Unbalance as per IEC 61000-4-30</t>
  </si>
  <si>
    <t>Voltage Measurement Report.pdf</t>
  </si>
  <si>
    <t>7</t>
  </si>
  <si>
    <t>≤1% per IEC 61000-4-30 ✓</t>
  </si>
  <si>
    <t>Voltage Unbalance at POI measured per IEC 61000-4-30. CEA Limit: ≤1.5% (typically ≤1.0% per IEC). Enter measured/simulated value. Source: Power Quality measurement report.</t>
  </si>
  <si>
    <t>Inter-harmonic measurement data submitted (OPTIONAL)</t>
  </si>
  <si>
    <t>h = 0.5,1.5,2.5,3.5,….</t>
  </si>
  <si>
    <t>Inter-harmonic Report</t>
  </si>
  <si>
    <t>3</t>
  </si>
  <si>
    <t>Optional – voluntarily submitted</t>
  </si>
  <si>
    <t>Optional submission. If inter-harmonic measurement data is available from type test, submit the report. Enter 'Submitted' if provided, or 'Not Submitted' if not measured. No mandatory limit.</t>
  </si>
  <si>
    <t>Dynamics Simulation Data for Renewable Energy Sources</t>
  </si>
  <si>
    <t>Voltage Dip/Swell Depth</t>
  </si>
  <si>
    <t>Notation of Measured Electrical Quantities</t>
  </si>
  <si>
    <t>Unit / Data Type</t>
  </si>
  <si>
    <t>Value Observed
(PSSE)</t>
  </si>
  <si>
    <t>Value Observed
(PSCAD)</t>
  </si>
  <si>
    <t>Lower 
Limit(Mag)</t>
  </si>
  <si>
    <t>Upper 
Limit(Mag)</t>
  </si>
  <si>
    <t>Document Name</t>
  </si>
  <si>
    <t xml:space="preserve">Visual Representation </t>
  </si>
  <si>
    <t>LVRT/HVRT</t>
  </si>
  <si>
    <t>Is tripping of Inverter/WTG/PCS/SVG observed during in any LVRT/HVRT case?</t>
  </si>
  <si>
    <t>PSSE Dynamics Report.pdf</t>
  </si>
  <si>
    <t>Dynamic check: Did any inverter/WTG/SVG trip (disconnect) during LVRT or HVRT simulation? Expected answer: 'No'. If 'Yes', identify the cause (protection settings, model error) and fix before submission.</t>
  </si>
  <si>
    <t>General/Unit Level</t>
  </si>
  <si>
    <t>Are Id(direct-axis current) &amp; Iq (quadrature-axis current) are as per equipment  Fault Ride-Through(FRT) logic?</t>
  </si>
  <si>
    <t>Verify that Id (direct-axis current) and Iq (quadrature-axis current) responses in simulation match the FRT control logic specified in OEM firmware. Expected: 'Yes'. Source: PSSE &amp; PSCAD Dynamics Report.</t>
  </si>
  <si>
    <t>Parameters as per Firmware/Benchmarking/Simulations are Aligned</t>
  </si>
  <si>
    <t>Confirm that model parameters (K-factor, time constants, thresholds) are consistent between firmware documentation, benchmarking reports, and simulation models (PSS/E and PSCAD). Expected: 'Yes'. Discrepancies must be resolved.</t>
  </si>
  <si>
    <t>V=15%</t>
  </si>
  <si>
    <t>Incremental Reactive Current  Injection of Inverter -  Minimum among all aggregated inverters
Voltage Dip 0.15 pu | 100% P | Symmetrical | Solar</t>
  </si>
  <si>
    <t>Del_Iq</t>
  </si>
  <si>
    <t>Incremental Reactive Current  injection (ΔIq in p.u.) by the inverter during 0.15 p.u. voltage dip (severe LVRT, 3-phase symmetrical fault), at 100% active power dispatch. Lower limit: &gt;0.001 p.u. (must show reactive support). Source: PSS/E dynamics run, LVRT test case.</t>
  </si>
  <si>
    <t>Total Reactive Current support  -  Minimum among all inverters
Voltage Dip 0.15 pu | 100% P | Symmetrical | Solar</t>
  </si>
  <si>
    <t>Iq_f = Iq_pref + Del_Iq</t>
  </si>
  <si>
    <t>11</t>
  </si>
  <si>
    <t>Total reactive current at the inverter terminal during the 0.15 pu LVRT case. Addition of pre-fault current and incremental current.Enter minimum value amongst the all feeders/inverters.</t>
  </si>
  <si>
    <t>Active Current of Inverter - Maximum among all inverters
Voltage Dip 0.15 pu | 100% P | Symmetrical | Solar</t>
  </si>
  <si>
    <t>Id_INV_max</t>
  </si>
  <si>
    <t>Active current (Id in p.u.) of inverter during the same 0.15 pu LVRT case. Active current may reduces during LVRT to prioritize reactive support. Lower limit: &gt;0.001. Source: PSS/E dynamics report.</t>
  </si>
  <si>
    <t>Total Apparant Current of Inverter -  Maximum among all inverters
Voltage Dip 0.15 pu | 100% P | Symmetrical | Solar</t>
  </si>
  <si>
    <t>Irms_3PH_INV_max</t>
  </si>
  <si>
    <t>Total Apparant current (I in p.u.) of inverter during the same 0.15 pu LVRT case. Apparent current should be close to 1. Source: PSS/E dynamics report.</t>
  </si>
  <si>
    <t>Active Power Recovery within 1 second of Fault Clearance 
Voltage Dip 0.15 pu | 100% P | Symmetrical | Solar</t>
  </si>
  <si>
    <t>P_post_LVRT_1sec</t>
  </si>
  <si>
    <t>% of pre-fault active power restored within 1 second of fault clearance (LVRT 0.15 pu, 100% P, symmetrical). CEA requirement: ≥90% recovery within 1 second. Source: PSS/E post-fault response curve.</t>
  </si>
  <si>
    <t>Incremental Reactive Current  Injection of WTG
Voltage Dip 0.15 pu | 100% P | Symmetrical | WTG</t>
  </si>
  <si>
    <t>Incremental Reactive Current  injection (ΔIq in p.u.) by the WTG during 0.15 p.u. voltage dip (severe LVRT, 3-phase symmetrical fault), at 100% active power dispatch. Lower limit: &gt;0.001 p.u. (must show reactive support). Source: PSS/E dynamics run, LVRT test case.</t>
  </si>
  <si>
    <t>Total Reactive Current support of WTG
Voltage Dip 0.15 pu | 100% P | Symmetrical | WTG</t>
  </si>
  <si>
    <t>Total reactive current at the WTG terminal during the 0.15 pu LVRT case. Addition of pre-fault current and incremental current.</t>
  </si>
  <si>
    <t>Active Current of Inverter of WTG
Voltage Dip 0.15 pu | 100% P | Symmetrical | WTG</t>
  </si>
  <si>
    <t>Id_WTG</t>
  </si>
  <si>
    <t>Active current (Id in p.u.) of WTG during the same 0.15 pu LVRT case. Active current may reduces during LVRT to prioritize reactive support. Lower limit: &gt;0.001. Source: PSS/E dynamics report.</t>
  </si>
  <si>
    <t>Total Apparant Current of WTG
Voltage Dip 0.15 pu | 100% P | Symmetrical | WTG</t>
  </si>
  <si>
    <t>Irms_3PH_WTG</t>
  </si>
  <si>
    <t>Total Apparant current (I in p.u.) of WTG during the same 0.15 pu LVRT case. Apparent current should be close to 1. Source: PSS/E &amp; PSCAD dynamics report.</t>
  </si>
  <si>
    <t>Active Power Recovery within 1 second of Fault Clearance 
Voltage Dip 0.15 pu | 100% P | Symmetrical | WTG</t>
  </si>
  <si>
    <t>% of pre-fault active power restored within 1 second of fault clearance (LVRT 0.15 pu, 100% P, symmetrical). CEA requirement: ≥90% recovery within 1 second. Source: PSS/E &amp; PSCAD post-fault response curve.</t>
  </si>
  <si>
    <t>Incremental Reactive Current  Injection of SVG
Voltage Dip 0.15 pu | 100% P | Symmetrical | SVG</t>
  </si>
  <si>
    <t>Incremental Reactive Current  injection (ΔIq in p.u.) by the SVG during 0.15 p.u. voltage dip (severe LVRT, 3-phase symmetrical fault), at 100% active power dispatch. Lower limit: &gt;0.001 p.u. (must show reactive support). Source: PSS/E dynamics run, LVRT test case.</t>
  </si>
  <si>
    <t>Total Reactive Current support of SVG
Voltage Dip 0.15 pu | 100% P | Symmetrical | SVG</t>
  </si>
  <si>
    <t>Total reactive current at the SVG terminal during the 0.15 pu LVRT case. Addition of pre-fault current and incremental current.</t>
  </si>
  <si>
    <t>Incremental Reactive Current  Injection of PCS/BESS
Voltage Dip 0.15 pu | 100% P | Symmetrical | PCS/BESS</t>
  </si>
  <si>
    <t>Incremental Reactive Current  injection (ΔIq in p.u.) by the PCS/BESS during 0.15 p.u. voltage dip (severe LVRT, 3-phase symmetrical fault), at 100% active power dispatch. Lower limit: &gt;0.001 p.u. (must show reactive support). Source: PSS/E dynamics run, LVRT test case.</t>
  </si>
  <si>
    <t>Total Reactive Current support of PCS/BESS
Voltage Dip 0.15 pu | 100% P | Symmetrical | PCS/BESS</t>
  </si>
  <si>
    <t>Total reactive current at the PCS/BESS terminal during the 0.15 pu LVRT case. Addition of pre-fault current and incremental current.</t>
  </si>
  <si>
    <t>Active Current of Inverter of PCS/BESS
Voltage Dip 0.15 pu | 100% P | Symmetrical | PCS/BESS</t>
  </si>
  <si>
    <t>Id_PCS</t>
  </si>
  <si>
    <t>Total Apparant Current of PCS/BESS
Voltage Dip 0.15 pu | 100% P | Symmetrical | PCS/BESS</t>
  </si>
  <si>
    <t>Irms_3PH_PCS</t>
  </si>
  <si>
    <t>Total Apparant current (I in p.u.) of Power Conversion System during the same 0.15 pu LVRT case. Apparent current should be close to 1. Source: PSS/E dynamics report.</t>
  </si>
  <si>
    <t>Incremental Reactive Power Injection at Plant
Voltage Dip 0.15 pu | 100% P | Symmetrical | Plant</t>
  </si>
  <si>
    <t>Del_Q</t>
  </si>
  <si>
    <t>Incremental reactive power (MVAr) injected by the inverter during the 0.15 pu LVRT case. Proportional to voltage dip magnitude and K-factor. Should be positive and substantial. Source: PSS/E dynamics report.</t>
  </si>
  <si>
    <t>V=50%</t>
  </si>
  <si>
    <t>Incremental Reactive Current  Injection of Inverter -  Minimum among all aggregated inverters
Voltage Dip 0.50 pu | 100% P | Symmetrical | Solar</t>
  </si>
  <si>
    <t>Incremental Reactive Current  injection (ΔIq in p.u.) by the inverter during 0.50 p.u. voltage dip (severe LVRT, 3-phase symmetrical fault), at 100% active power dispatch. Lower limit: &gt;0.001 p.u. (must show reactive support). Source: PSS/E dynamics run, LVRT test case.</t>
  </si>
  <si>
    <t>Total Reactive Current support  -  Minimum among all inverters
Voltage Dip 0.50 pu | 100% P | Symmetrical | Solar</t>
  </si>
  <si>
    <t>Total reactive current at the inverter terminal during the 0.50 pu LVRT case. Addition of pre-fault current and incremental current.Enter minimum value amongst the all feeders/inverters.</t>
  </si>
  <si>
    <t>Active Current of Inverter - Maximum among all inverters
Voltage Dip 0.50 pu | 100% P | Symmetrical | Solar</t>
  </si>
  <si>
    <t>Active current (Id in p.u.) of inverter during the same 0.50 pu LVRT case. Active current may reduces during LVRT to prioritize reactive support. Lower limit: &gt;0.001. Source: PSS/E dynamics report.</t>
  </si>
  <si>
    <t>Total Apparant Current of Inverter -  Maximum among all inverters
Voltage Dip 0.50 pu | 100% P | Symmetrical | Solar</t>
  </si>
  <si>
    <t>Total Apparant current (I in p.u.) of inverter during the same 0.50 pu LVRT case. Apparent current should be close to 1. Source: PSS/E dynamics report.</t>
  </si>
  <si>
    <t>Active Power Recovery within 1 second of Fault Clearance 
Voltage Dip 0.50 pu | 100% P | Symmetrical | Solar</t>
  </si>
  <si>
    <t>% of pre-fault active power restored within 1 second of fault clearance (LVRT 0.50 pu, 100% P, symmetrical). CEA requirement: ≥90% recovery within 1 second. Source: PSS/E post-fault response curve.</t>
  </si>
  <si>
    <t>Incremental Reactive Current  Injection of WTG
Voltage Dip 0.50 pu | 100% P | Symmetrical | WTG</t>
  </si>
  <si>
    <t>Incremental Reactive Current  injection (ΔIq in p.u.) by the WTG during 0.50 p.u. voltage dip (severe LVRT, 3-phase symmetrical fault), at 100% active power dispatch. Lower limit: &gt;0.001 p.u. (must show reactive support). Source: PSS/E dynamics run, LVRT test case.</t>
  </si>
  <si>
    <t>Total Reactive Current support of WTG
Voltage Dip 0.50 pu | 100% P | Symmetrical | WTG</t>
  </si>
  <si>
    <t>Total reactive current at the WTG terminal during the 0.50 pu LVRT case. Addition of pre-fault current and incremental current.</t>
  </si>
  <si>
    <t>Active Current of Inverter of WTG
Voltage Dip 0.50 pu | 100% P | Symmetrical | WTG</t>
  </si>
  <si>
    <t>Active current (Id in p.u.) of WTG during the same 0.50 pu LVRT case. Active current may reduces during LVRT to prioritize reactive support. Lower limit: &gt;0.001. Source: PSS/E dynamics report.</t>
  </si>
  <si>
    <t>Total Apparant Current of WTG
Voltage Dip 0.50 pu | 100% P | Symmetrical | WTG</t>
  </si>
  <si>
    <t>Total Apparant current (I in p.u.) of WTG during the same 0.50 pu LVRT case. Apparent current should be close to 1. Source: PSS/E &amp; PSCAD dynamics report.</t>
  </si>
  <si>
    <t>Active Power Recovery within 1 second of Fault Clearance 
Voltage Dip 0.50 pu | 100% P | Symmetrical | WTG</t>
  </si>
  <si>
    <t>% of pre-fault active power restored within 1 second of fault clearance (LVRT 0.50 pu, 100% P, symmetrical). CEA requirement: ≥90% recovery within 1 second. Source: PSS/E &amp; PSCAD post-fault response curve.</t>
  </si>
  <si>
    <t>Incremental Reactive Current  Injection of SVG
Voltage Dip 0.50 pu | 100% P | Symmetrical | SVG</t>
  </si>
  <si>
    <t>Incremental Reactive Current  injection (ΔIq in p.u.) by the SVG during 0.50 p.u. voltage dip (severe LVRT, 3-phase symmetrical fault), at 100% active power dispatch. Lower limit: &gt;0.001 p.u. (must show reactive support). Source: PSS/E dynamics run, LVRT test case.</t>
  </si>
  <si>
    <t>Total Reactive Current support of SVG
Voltage Dip 0.50 pu | 100% P | Symmetrical | SVG</t>
  </si>
  <si>
    <t>Total reactive current at the SVG terminal during the 0.50 pu LVRT case. Addition of pre-fault current and incremental current.</t>
  </si>
  <si>
    <t>Incremental Reactive Current  Injection of PCS/BESS
Voltage Dip 0.50 pu | 100% P | Symmetrical | PCS/BESS</t>
  </si>
  <si>
    <t>Incremental Reactive Current  injection (ΔIq in p.u.) by the PCS/BESS during 0.50 p.u. voltage dip (severe LVRT, 3-phase symmetrical fault), at 100% active power dispatch. Lower limit: &gt;0.001 p.u. (must show reactive support). Source: PSS/E dynamics run, LVRT test case.</t>
  </si>
  <si>
    <t>Total Reactive Current support of PCS/BESS
Voltage Dip 0.50 pu | 100% P | Symmetrical | PCS/BESS</t>
  </si>
  <si>
    <t>Total reactive current at the PCS/BESS terminal during the 0.50 pu LVRT case. Addition of pre-fault current and incremental current.</t>
  </si>
  <si>
    <t>Active Current of Inverter of PCS/BESS
Voltage Dip 0.50 pu | 100% P | Symmetrical | PCS/BESS</t>
  </si>
  <si>
    <t>Total Apparant Current of PCS/BESS
Voltage Dip 0.50 pu | 100% P | Symmetrical | PCS/BESS</t>
  </si>
  <si>
    <t>Total Apparant current (I in p.u.) of Power Conversion System during the same 0.50 pu LVRT case. Apparent current should be close to 1. Source: PSS/E dynamics report.</t>
  </si>
  <si>
    <t>Incremental Reactive Power Injection at Plant
Voltage Dip 0.50 pu | 100% P | Symmetrical | Plant</t>
  </si>
  <si>
    <t>Incremental reactive power (MVAr) injected by the inverter during the 0.50 pu LVRT case. Proportional to voltage dip magnitude and K-factor. Should be positive and substantial. Source: PSS/E dynamics report.</t>
  </si>
  <si>
    <t>V=85%</t>
  </si>
  <si>
    <t>Incremental Reactive Current  Injection of Inverter -  Minimum among all aggregated inverters
Voltage Dip 0.85 pu | 100% P | Symmetrical | Solar</t>
  </si>
  <si>
    <t>Incremental Reactive Current  injection (ΔIq in p.u.) by the inverter during 0.85 p.u. voltage dip (severe LVRT, 3-phase symmetrical fault), at 100% active power dispatch. Lower limit: &gt;0.001 p.u. (must show reactive support). Source: PSS/E dynamics run, LVRT test case.</t>
  </si>
  <si>
    <t>Total Reactive Current support  -  Minimum among all inverters
Voltage Dip 0.85 pu | 100% P | Symmetrical | Solar</t>
  </si>
  <si>
    <t>Total reactive current at the inverter terminal during the 0.85 pu LVRT case. Addition of pre-fault current and incremental current.Enter minimum value amongst the all feeders/inverters.</t>
  </si>
  <si>
    <t>Active Current of Inverter - Maximum among all inverters
Voltage Dip 0.85 pu | 100% P | Symmetrical | Solar</t>
  </si>
  <si>
    <t>Active current (Id in p.u.) of inverter during the same 0.85 pu LVRT case. Active current may reduces during LVRT to prioritize reactive support. Lower limit: &gt;0.001. Source: PSS/E dynamics report.</t>
  </si>
  <si>
    <t>Total Apparant Current of Inverter -  Maximum among all inverters
Voltage Dip 0.85 pu | 100% P | Symmetrical | Solar</t>
  </si>
  <si>
    <t>Total Apparant current (I in p.u.) of inverter during the same 0.85 pu LVRT case. Apparent current should be close to 1. Source: PSS/E dynamics report.</t>
  </si>
  <si>
    <t>Active Power Recovery within 1 second of Fault Clearance 
Voltage Dip 0.85 pu | 100% P | Symmetrical | Solar</t>
  </si>
  <si>
    <t>% of pre-fault active power restored within 1 second of fault clearance (LVRT 0.85 pu, 100% P, symmetrical). CEA requirement: ≥90% recovery within 1 second. Source: PSS/E post-fault response curve.</t>
  </si>
  <si>
    <t>Incremental Reactive Current  Injection of WTG
Voltage Dip 0.85 pu | 100% P | Symmetrical | WTG</t>
  </si>
  <si>
    <t>Incremental Reactive Current  injection (ΔIq in p.u.) by the WTG during 0.85 p.u. voltage dip (severe LVRT, 3-phase symmetrical fault), at 100% active power dispatch. Lower limit: &gt;0.001 p.u. (must show reactive support). Source: PSS/E dynamics run, LVRT test case.</t>
  </si>
  <si>
    <t>Total Reactive Current support of WTG
Voltage Dip 0.85 pu | 100% P | Symmetrical | WTG</t>
  </si>
  <si>
    <t>Total reactive current at the WTG terminal during the 0.85 pu LVRT case. Addition of pre-fault current and incremental current.</t>
  </si>
  <si>
    <t>Active Current of Inverter of WTG
Voltage Dip 0.85 pu | 100% P | Symmetrical | WTG</t>
  </si>
  <si>
    <t>Active current (Id in p.u.) of WTG during the same 0.85 pu LVRT case. Active current may reduces during LVRT to prioritize reactive support. Lower limit: &gt;0.001. Source: PSS/E dynamics report.</t>
  </si>
  <si>
    <t>Total Apparant Current of WTG
Voltage Dip 0.85 pu | 100% P | Symmetrical | WTG</t>
  </si>
  <si>
    <t>Total Apparant current (I in p.u.) of WTG during the same 0.85 pu LVRT case. Apparent current should be close to 1. Source: PSS/E &amp; PSCAD dynamics report.</t>
  </si>
  <si>
    <t>Active Power Recovery within 1 second of Fault Clearance 
Voltage Dip 0.85 pu | 100% P | Symmetrical | WTG</t>
  </si>
  <si>
    <t>% of pre-fault active power restored within 1 second of fault clearance (LVRT 0.85 pu, 100% P, symmetrical). CEA requirement: ≥90% recovery within 1 second. Source: PSS/E &amp; PSCAD post-fault response curve.</t>
  </si>
  <si>
    <t>Incremental Reactive Current  Injection of SVG
Voltage Dip 0.85 pu | 100% P | Symmetrical | SVG</t>
  </si>
  <si>
    <t>Incremental Reactive Current  injection (ΔIq in p.u.) by the SVG during 0.85 p.u. voltage dip (severe LVRT, 3-phase symmetrical fault), at 100% active power dispatch. Lower limit: &gt;0.001 p.u. (must show reactive support). Source: PSS/E dynamics run, LVRT test case.</t>
  </si>
  <si>
    <t>Total Reactive Current support of SVG
Voltage Dip 0.85 pu | 100% P | Symmetrical | SVG</t>
  </si>
  <si>
    <t>Total reactive current at the SVG terminal during the 0.85 pu LVRT case. Addition of pre-fault current and incremental current.</t>
  </si>
  <si>
    <t>Incremental Reactive Current  Injection of PCS/BESS
Voltage Dip 0.85 pu | 100% P | Symmetrical | PCS/BESS</t>
  </si>
  <si>
    <t>Incremental Reactive Current  injection (ΔIq in p.u.) by the PCS/BESS during 0.85 p.u. voltage dip (severe LVRT, 3-phase symmetrical fault), at 100% active power dispatch. Lower limit: &gt;0.001 p.u. (must show reactive support). Source: PSS/E dynamics run, LVRT test case.</t>
  </si>
  <si>
    <t>Total Reactive Current support of PCS/BESS
Voltage Dip 0.85 pu | 100% P | Symmetrical | PCS/BESS</t>
  </si>
  <si>
    <t>Total reactive current at the PCS/BESS terminal during the 0.85 pu LVRT case. Addition of pre-fault current and incremental current.</t>
  </si>
  <si>
    <t>Active Current of Inverter of PCS/BESS
Voltage Dip 0.85 pu | 100% P | Symmetrical | PCS/BESS</t>
  </si>
  <si>
    <t>Total Apparant Current of PCS/BESS
Voltage Dip 0.85 pu | 100% P | Symmetrical | PCS/BESS</t>
  </si>
  <si>
    <t>Total Apparant current (I in p.u.) of Power Conversion System during the same 0.85 pu LVRT case. Apparent current should be close to 1. Source: PSS/E dynamics report.</t>
  </si>
  <si>
    <t>Incremental Reactive Power Injection at Plant
Voltage Dip 0.85 pu | 100% P | Symmetrical | Plant</t>
  </si>
  <si>
    <t>Incremental reactive power (MVAr) injected by the inverter during the 0.85 pu LVRT case. Proportional to voltage dip magnitude and K-factor. Should be positive and substantial. Source: PSS/E dynamics report.</t>
  </si>
  <si>
    <t>Incremental Positive Sequence Reactive Current Inverter 
Voltage Dip 0.15 pu  | 100% P |  LL | Solar</t>
  </si>
  <si>
    <t>Del_Iq+</t>
  </si>
  <si>
    <t>PSCAD – Positive-sequence Incremental Reactive Current  injection during 0.15 pu voltage dip caused by a Line-to-Line (LL) fault (asymmetric/unbalanced). Lower limit: &gt;0.001. Typical: 0.4–0.6 p.u.</t>
  </si>
  <si>
    <t>Negative Sequence Reactive Current  Inverter
Voltage Dip 0.15 pu  | 100% P |  LL | Solar</t>
  </si>
  <si>
    <t>Iq-</t>
  </si>
  <si>
    <t>PSS/E and PSCAD – Negative-sequence reactive current during 0.15 pu LL fault. Value is typically negative (absorption of negative sequence). Source: PSCAD dynamics report with unbalanced fault.</t>
  </si>
  <si>
    <t>Active Current of WTG
Voltage Dip 0.15 pu  | 100% P |  LL | WTG</t>
  </si>
  <si>
    <t xml:space="preserve"> PSCAD – Active current at WTG terminals during 0.15 pu LL LVRT case. Source: PSCAD dynamics report.</t>
  </si>
  <si>
    <t>Active Current of Inverter
Voltage Dip 0.15 pu  | 100% P |  LL | Solar</t>
  </si>
  <si>
    <t>Id_INV</t>
  </si>
  <si>
    <t>PSCAD – Active current at Inverter terminals during 0.15 pu LL LVRT case. Source: PSCAD dynamics report.</t>
  </si>
  <si>
    <t>Reactive Current of Inverter
Voltage Dip 0.15 pu  | 100% P |  LL | Solar</t>
  </si>
  <si>
    <t>PSCAD– Reactive power support (MVAr) during 0.15 pu LL LVRT. Lower than symmetrical case. Source: PSCAD Dynamics Report.</t>
  </si>
  <si>
    <t>Incremental Positive Sequence Reactive Current WTG 
Voltage Dip 0.15 pu  | 100% P |  LL | WTG</t>
  </si>
  <si>
    <t>Negative Sequence Reactive Current  WTG
Voltage Dip 0.15 pu  | 100% P |  LL | WTG</t>
  </si>
  <si>
    <t>Rective Current of SVG
Voltage Dip 0.15 pu  | 100% P |  LL | SVG</t>
  </si>
  <si>
    <t>Reactive Current of WTG
Voltage Dip 0.15 pu  | 100% P |  LL | WTG</t>
  </si>
  <si>
    <t>Incremental Positive Sequence Reactive Current PCS/BESS
Voltage Dip 0.15 pu  | 100% P |  LL | PCS/BESS</t>
  </si>
  <si>
    <t>Negative Sequence Reactive Current  PCS/BESS
Voltage Dip 0.15 pu  | 100% P |  LL | PCS/BESS</t>
  </si>
  <si>
    <t>Active Current of PCS/BESS
Voltage Dip 0.15 pu  | 100% P |  LL | PCS/BESS</t>
  </si>
  <si>
    <t>PSCAD – Active current at PCS/BESS terminals during 0.15 pu LL LVRT case. Source: PSCAD dynamics report.</t>
  </si>
  <si>
    <t>Reactive Current of PCS/BESS
Voltage Dip 0.15 pu  | 100% P |  LL | PCS/BESS</t>
  </si>
  <si>
    <t>Incremental Positive Sequence Reactive Current SVG
Voltage Dip 0.15 pu  | 100% P |  LL | SVG</t>
  </si>
  <si>
    <t>Negative Sequence Reactive Current  SVG
Voltage Dip 0.15 pu  | 100% P |  LL | SVG</t>
  </si>
  <si>
    <t>Incremental Reactive Power Injection at Plant
Voltage Dip 0.15 pu  | 100% P |  LL | Plant</t>
  </si>
  <si>
    <t>Incremental Positive Sequence Reactive Current Inverter 
Voltage Dip 0.50 pu  | 100% P |  LL | Solar</t>
  </si>
  <si>
    <t>PSCAD – Positive-sequence Incremental Reactive Current  injection during 0.50 pu voltage dip caused by a Line-to-Line (LL) fault (asymmetric/unbalanced). Lower limit: &gt;0.001. Typical: 0.4–0.6 p.u.</t>
  </si>
  <si>
    <t>Negative Sequence Reactive Current  Inverter
Voltage Dip 0.50 pu  | 100% P |  LL | Solar</t>
  </si>
  <si>
    <t>PSS/E and PSCAD – Negative-sequence reactive current during 0.50 pu LL fault. Value is typically negative (absorption of negative sequence). Source: PSCAD dynamics report with unbalanced fault.</t>
  </si>
  <si>
    <t>Active Current of WTG
Voltage Dip 0.50 pu  | 100% P |  LL | WTG</t>
  </si>
  <si>
    <t>PSCAD – Active current at WTG terminals during 0.50 pu LL LVRT case. Source: PSCAD dynamics report.</t>
  </si>
  <si>
    <t>Active Current of Inverter
Voltage Dip 0.5 pu  | 100% P |  LL | Solar</t>
  </si>
  <si>
    <t>PSCAD – Active current at Inverter terminals during 0.50 pu LL LVRT case. Source: PSCAD dynamics report.</t>
  </si>
  <si>
    <t>Reactive Current of Inverter
Voltage Dip 0.5 pu  | 100% P |  LL | Solar</t>
  </si>
  <si>
    <t>Incremental Positive Sequence Reactive Current WTG 
Voltage Dip 0.5 pu  | 100% P |  LL | WTG</t>
  </si>
  <si>
    <t>Negative Sequence Reactive Current  WTG
Voltage Dip 0.5 pu  | 100% P |  LL | WTG</t>
  </si>
  <si>
    <t>Reactive Current of SVG
Voltage Dip 0.5 pu  | 100% P |  LL | SVG</t>
  </si>
  <si>
    <t>Reactive Current of WTG
Voltage Dip 0.5 pu  | 100% P |  LL | WTG</t>
  </si>
  <si>
    <t>Incremental Positive Sequence Reactive Current PCS/BESS
Voltage Dip 0.5 pu  | 100% P |  LL | PCS/BESS</t>
  </si>
  <si>
    <t>Negative Sequence Reactive Current  PCS/BESS
Voltage Dip 0.5 pu  | 100% P |  LL | PCS/BESS</t>
  </si>
  <si>
    <t>Active Current of PCS/BESS
Voltage Dip 0.5 pu  | 100% P |  LL | PCS/BESS</t>
  </si>
  <si>
    <t>PSCAD – Active current at PCS/BESS terminals during 0.50 pu LL LVRT case. Source: PSCAD dynamics report.</t>
  </si>
  <si>
    <t>Reactive Current of PCS/BESS
Voltage Dip 0.5 pu  | 100% P |  LL | PCS/BESS</t>
  </si>
  <si>
    <t>Incremental Positive Sequence Reactive Current SVG
Voltage Dip 0.5 pu  | 100% P |  LL | SVG</t>
  </si>
  <si>
    <t>Negative Sequence Reactive Current  SVG
Voltage Dip 0.5 pu  | 100% P |  LL | SVG</t>
  </si>
  <si>
    <t>Incremental Reactive Power Injection at Plant
Voltage Dip 0.5 pu  | 100% P |  LL | Plant</t>
  </si>
  <si>
    <t>Incremental Positive Sequence Reactive Current Inverter 
Voltage Dip 0.85 pu  | 100% P |  LL | Solar</t>
  </si>
  <si>
    <t>PSCAD – Positive-sequence Incremental Reactive Current  injection during 0.85 pu voltage dip caused by a Line-to-Line (LL) fault (asymmetric/unbalanced). Lower limit: &gt;0.001. Typical: 0.4–0.6 p.u.</t>
  </si>
  <si>
    <t>Negative Sequence Reactive Current  Inverter
Voltage Dip 0.85 pu  | 100% P |  LL | Solar</t>
  </si>
  <si>
    <t>PSS/E and PSCAD – Negative-sequence reactive current during 0.85 pu LL fault. Value is typically negative (absorption of negative sequence). Source: PSCAD dynamics report with unbalanced fault.</t>
  </si>
  <si>
    <t>Active Current of WTG
Voltage Dip 0.85 pu  | 100% P |  LL | WTG</t>
  </si>
  <si>
    <t>PSCAD – Active current at WTG terminals during 0.85 pu LL LVRT case. Source: PSCAD dynamics report.</t>
  </si>
  <si>
    <t>Active Current of Inverter
Voltage Dip 0.85 pu  | 100% P |  LL | Solar</t>
  </si>
  <si>
    <t>PSCAD – Active current at Inverter terminals during 0.85 pu LL LVRT case. Source: PSCAD dynamics report.</t>
  </si>
  <si>
    <t>Reactive Current of Inverter
Voltage Dip 0.85 pu  | 100% P |  LL | Solar</t>
  </si>
  <si>
    <t>Incremental Positive Sequence Reactive Current WTG 
Voltage Dip 0.85 pu  | 100% P |  LL | WTG</t>
  </si>
  <si>
    <t>Negative Sequence Reactive Current  WTG
Voltage Dip 0.85 pu  | 100% P |  LL | WTG</t>
  </si>
  <si>
    <t>Reactive Current of SVG
Voltage Dip 0.85 pu  | 100% P |  LL | SVG</t>
  </si>
  <si>
    <t>Reactive Current of WTG
Voltage Dip 0.85 pu  | 100% P |  LL | WTG</t>
  </si>
  <si>
    <t>Incremental Positive Sequence Reactive Current PCS/BESS
Voltage Dip 0.85 pu  | 100% P |  LL | PCS/BESS</t>
  </si>
  <si>
    <t>Negative Sequence Reactive Current  PCS/BESS
Voltage Dip 0.85 pu  | 100% P |  LL | PCS/BESS</t>
  </si>
  <si>
    <t>Active Current of PCS/BESS
Voltage Dip 0.85 pu  | 100% P |  LL | PCS/BESS</t>
  </si>
  <si>
    <t>PSCAD – Active current at PCS/BESS terminals during 0.85 pu LL LVRT case. Source: PSCAD dynamics report.</t>
  </si>
  <si>
    <t>Reactive Current of PCS/BESS
Voltage Dip 0.85 pu  | 100% P |  LL | PCS/BESS</t>
  </si>
  <si>
    <t>Incremental Positive Sequence Reactive Current SVG
Voltage Dip 0.85 pu  | 100% P |  LL | SVG</t>
  </si>
  <si>
    <t>Negative Sequence Reactive Current  SVG
Voltage Dip 0.85 pu  | 100% P |  LL | SVG</t>
  </si>
  <si>
    <t>Incremental Reactive Power Injection at Plant
Voltage Dip 0.85 pu  | 100% P |  LL | Plant</t>
  </si>
  <si>
    <t>V=110%</t>
  </si>
  <si>
    <t>Incremental Reactive Current  of  Inverter 
HVRT 1.1 pu | 100% P |  Symmetrical | Solar</t>
  </si>
  <si>
    <t>Incremental Reactive Current  absorbed by inverter during HVRT 1.1 pu case (100% P, symmetrical). During HVRT, inverter absorbs reactive power (negative ΔIq). Lower limit: &gt;0.0001.</t>
  </si>
  <si>
    <t>Total Reactive Current of  Inverter 
HVRT 1.1 pu | 100% P |  Symmetrical | Solar</t>
  </si>
  <si>
    <t>Active Current of  Inverter
HVRT 1.1 pu | 100% P |  Symmetrical | Solar</t>
  </si>
  <si>
    <t>Active current maintained at Inverter terminals during HVRT 1.1 pu case. Should remain close to 1.0 p.u. Source: PSS/E dynamics output.</t>
  </si>
  <si>
    <t>Incremental Reactive Current  of  WTG
HVRT 1.1 pu | 100% P |  Symmetrical | WTG</t>
  </si>
  <si>
    <t>Incremental Reactive Current  absorbed by WTG during HVRT 1.1 pu case (100% P, symmetrical). During HVRT, inverter absorbs reactive power (negative ΔIq). Lower limit: &gt;0.0001.</t>
  </si>
  <si>
    <t>Total Reactive Current of  WTG
HVRT 1.1 pu | 100% P |  Symmetrical | WTG</t>
  </si>
  <si>
    <t>Active Current of  WTG
HVRT 1.1 pu | 100% P |  Symmetrical | WTG</t>
  </si>
  <si>
    <t>Active current maintained at WTG terminals during HVRT 1.1 pu case. Should remain close to 1.0 p.u. Source: PSS/E dynamics output.</t>
  </si>
  <si>
    <t>Incremental Reactive Current  of  PCS/BESS
HVRT 1.1 pu | 100% P |  Symmetrical | PCS/BESS</t>
  </si>
  <si>
    <t>Incremental Reactive Current  absorbed by PCS/BESS during HVRT 1.1 pu case (100% P, symmetrical). During HVRT, inverter absorbs reactive power (negative ΔIq). Lower limit: &gt;0.0001.</t>
  </si>
  <si>
    <t>Total Reactive Current of  PCS/BESS
HVRT 1.1 pu | 100% P |  Symmetrical | PCS/BESS</t>
  </si>
  <si>
    <t>Active Current of  PCS/BESS
HVRT 1.1 pu | 100% P |  Symmetrical | PCS/BESS</t>
  </si>
  <si>
    <t>Active current maintained at PCS/BESS terminals during HVRT 1.1 pu case. Should remain close to 1.0 p.u. Source: PSS/E dynamics output.</t>
  </si>
  <si>
    <t>Incremental Reactive Current  of  SVG
HVRT 1.1 pu | 100% P |  Symmetrical | SVG</t>
  </si>
  <si>
    <t>Incremental Reactive Current  absorbed by SVG during HVRT 1.1 pu case (100% P, symmetrical). During HVRT, inverter absorbs reactive power (negative ΔIq). Lower limit: &gt;0.0001.</t>
  </si>
  <si>
    <t>Total Reactive Current of SVG
HVRT 1.1 pu | 100% P |  Symmetrical | SVG</t>
  </si>
  <si>
    <t>V=120%</t>
  </si>
  <si>
    <t>Incremental Reactive Current  of  Inverter
HVRT 1.2 pu | 100% P |  Symmetrical | Solar</t>
  </si>
  <si>
    <t>Incremental Reactive Current  absorbed by inverter during HVRT 1.2 pu case (100% P, symmetrical). During HVRT, inverter absorbs reactive power (negative ΔIq). Lower limit: &gt;0.0001.</t>
  </si>
  <si>
    <t>Total Reactive Current of  Inverter 
HVRT 1.2 pu | 100% P |  Symmetrical | Solar</t>
  </si>
  <si>
    <t>Active Currentof Inverter
HVRT 1.2 pu | 100% P |  Symmetrical | Solar</t>
  </si>
  <si>
    <t>Active current maintained at Inverter terminals during HVRT 1.2 pu case. Should remain close to 1.0 p.u. Source: PSS/E dynamics output.</t>
  </si>
  <si>
    <t>Incremental Reactive Current  of WTG
HVRT 1.2 pu | 100% P |  Symmetrical | WTG</t>
  </si>
  <si>
    <t>Incremental Reactive Current  absorbed by WTG during HVRT 1.2 pu case (100% P, symmetrical). During HVRT, inverter absorbs reactive power (negative ΔIq). Lower limit: &gt;0.0001.</t>
  </si>
  <si>
    <t>Total Reactive Current of WTG
HVRT 1.2 pu | 100% P |  Symmetrical | WTG</t>
  </si>
  <si>
    <t>Active Current of WTG
HVRT 1.2 pu | 100% P |  Symmetrical | WTG</t>
  </si>
  <si>
    <t>Active current maintained at WTG terminals during HVRT 1.2 pu case. Should remain close to 1.0 p.u. Source: PSS/E dynamics output.</t>
  </si>
  <si>
    <t>Incremental Reactive Current  of BESS/PCS
HVRT 1.2 pu | 100% P |  Symmetrical | BESS/PCS</t>
  </si>
  <si>
    <t>Incremental Reactive Current  absorbed by PCS/BESS during HVRT 1.2 pu case (100% P, symmetrical). During HVRT, inverter absorbs reactive power (negative ΔIq). Lower limit: &gt;0.0001.</t>
  </si>
  <si>
    <t>Total Reactive Current of BESS/PCS
HVRT 1.2 pu | 100% P |  Symmetrical | BESS/PCS</t>
  </si>
  <si>
    <t>Active Current of BESS/PCS
HVRT 1.2 pu | 100% P |  Symmetrical | BESS/PCS</t>
  </si>
  <si>
    <t>Active current maintained at PCS/BESS terminals during HVRT 1.2 pu case. Should remain close to 1.0 p.u. Source: PSS/E dynamics output.</t>
  </si>
  <si>
    <t>Incremental Reactive Current  of SVG
HVRT 1.2 pu | 100% P |  Symmetrical | SVG</t>
  </si>
  <si>
    <t>Incremental Reactive Current  absorbed by SVG during HVRT 1.2 pu case (100% P, symmetrical). During HVRT, inverter absorbs reactive power (negative ΔIq). Lower limit: &gt;0.0001.</t>
  </si>
  <si>
    <t>Total Reactive Current of SVG
HVRT 1.2 pu | 100% P |  Symmetrical | SVG</t>
  </si>
  <si>
    <t>Incremental Reactive Power absorption at plant at POI
HVRT 1.2 pu | 100% P |  Symmetrical | plant</t>
  </si>
  <si>
    <t>Total Reactive Power absorption at plant at POI
HVRT 1.2 pu | 100% P |  Symmetrical | plant</t>
  </si>
  <si>
    <t>V=130%</t>
  </si>
  <si>
    <t>Incremental Reactive Current  of  Inverter
HVRT 1.3 pu | 100% P |  Symmetrical</t>
  </si>
  <si>
    <t>Incremental Reactive Current  absorbed by inverter during HVRT 1.3 pu case (100% P, symmetrical). During HVRT, inverter absorbs reactive power (negative ΔIq). Lower limit: &gt;0.0001.</t>
  </si>
  <si>
    <t>Total Reactive Current of  Inverter 
HVRT 1.3 pu | 100% P |  Symmetrical</t>
  </si>
  <si>
    <t>Active current during HVRT 1.3 pu. May reduce due to current limit. Source: PSS/E report.</t>
  </si>
  <si>
    <t>Active Currentof Inverter
HVRT 1.3 pu | 100% P |  Symmetrical</t>
  </si>
  <si>
    <t>Active current maintained at Inverter terminals during HVRT 1.3 pu case. Should remain close to 1.0 p.u. Source: PSS/E dynamics output.</t>
  </si>
  <si>
    <t>Incremental Reactive Current  of  WTG
HVRT 1.3 pu | 100% P |  Symmetrical | WTG</t>
  </si>
  <si>
    <t>Incremental Reactive Current  absorbed by WTG during HVRT 1.3 pu case (100% P, symmetrical). During HVRT, inverter absorbs reactive power (negative ΔIq). Lower limit: &gt;0.0001.</t>
  </si>
  <si>
    <t>Total Reactive Current of  WTG
HVRT 1.3 pu | 100% P |  Symmetrical | WTG</t>
  </si>
  <si>
    <t>Active Currentof WTG
HVRT 1.3 pu | 100% P |  Symmetrical | WTG</t>
  </si>
  <si>
    <t>Active current maintained at WTG terminals during HVRT 1.3 pu case. Should remain close to 1.0 p.u. Source: PSS/E dynamics output.</t>
  </si>
  <si>
    <t>Incremental Reactive Current  of  PCS/BESS
HVRT 1.3 pu | 100% P |  Symmetrical | PCS/BESS</t>
  </si>
  <si>
    <t>Incremental Reactive Current  absorbed by PCS/BESS during HVRT 1.3 pu case (100% P, symmetrical). During HVRT, inverter absorbs reactive power (negative ΔIq). Lower limit: &gt;0.0001.</t>
  </si>
  <si>
    <t>Total Reactive Current of  PCS/BESS
HVRT 1.3 pu | 100% P |  Symmetrical | PCS/BESS</t>
  </si>
  <si>
    <t>Active Currentof Inverter of PCS/BESS
HVRT 1.3 pu | 100% P |  Symmetrical | PCS/BESS</t>
  </si>
  <si>
    <t>Active current maintained at PCS/BESS terminals during HVRT 1.3 pu case. Should remain close to 1.0 p.u. Source: PSS/E dynamics output.</t>
  </si>
  <si>
    <t>Incremental Reactive Current  of  SVG
HVRT 1.3 pu | 100% P |  Symmetrical | SVG</t>
  </si>
  <si>
    <t>Incremental Reactive Current  absorbed by SVG during HVRT 1.3 pu case (100% P, symmetrical). During HVRT, inverter absorbs reactive power (negative ΔIq). Lower limit: &gt;0.0001.</t>
  </si>
  <si>
    <t>Total Reactive Current of  SVG
HVRT 1.3 pu | 100% P |  Symmetrical | SVG</t>
  </si>
  <si>
    <t>Incremental Reactive Power aboroption at plant
HVRT 1.3 pu | 100% P |  Symmetrical | Plant</t>
  </si>
  <si>
    <t>Total Reactive Power aboroption at plant
HVRT 1.3 pu | 100% P |  Symmetrical | Plant</t>
  </si>
  <si>
    <t>Does Master/Slave PPC freeze occur for all the  cases</t>
  </si>
  <si>
    <t>PSSE LVRT Report</t>
  </si>
  <si>
    <t>32</t>
  </si>
  <si>
    <t>Confirm that the Master/Slave PPC does NOT freeze (halt commands) during any LVRT/HVRT case. Expected: 'No' freeze. If 'Yes', review PPC LVRT mode logic and fix. Source: PSS/E LVRT report.</t>
  </si>
  <si>
    <t>Master PPC LVRT Threshold voltage setting</t>
  </si>
  <si>
    <t>33</t>
  </si>
  <si>
    <t>Voltage threshold (p.u.) at which Master PPC enters LVRT mode. Typical setting: 0.85 p.u. Must match firmware setting and CTU requirements. Source: PPC firmware documentation.</t>
  </si>
  <si>
    <t>Slave PPC LVRT Threshold voltage setting (if available)</t>
  </si>
  <si>
    <t>Voltage threshold (p.u.) for Slave PPC LVRT activation (if Slave PPC exists). Typically slightly lower than Master (e.g., 0.75 p.u.). Enter 'N/A' if no Slave PPC.</t>
  </si>
  <si>
    <t>Hysteresis of Inverter kept for LVRT activation de-activation</t>
  </si>
  <si>
    <t>34</t>
  </si>
  <si>
    <t>Hysteresis cycles (count) for LVRT mode activation/deactivation logic in inverter firmware. Prevents rapid chattering near threshold. Typical value: 2–5 cycles. Source: Inverter firmware doc.</t>
  </si>
  <si>
    <t>Hysteresis of SVG kept for LVRT activation de-activation</t>
  </si>
  <si>
    <t>35</t>
  </si>
  <si>
    <t>Hysteresis cycles for SVG LVRT activation. Typical: 3–5. Enter 'N/A' if no SVG. Source: SVG firmware.</t>
  </si>
  <si>
    <t>Hysteresis of WTG kept for LVRT activation de-activation</t>
  </si>
  <si>
    <t>Hysteresis cycles for WTG LVRT activation. Enter 'N/A' for pure solar. Source: WTG firmware.</t>
  </si>
  <si>
    <t>LVRT K-Factor As Per Firmware Setting</t>
  </si>
  <si>
    <t>Abs</t>
  </si>
  <si>
    <t>LVRT K-factor as programmed in inverter/IBR firmware. K-factor = ΔIq / ΔV. Typical range: 2.0–6.0. Must match OEM documentation and be consistent with simulation model.</t>
  </si>
  <si>
    <t>LVRT K-Factor as per Simulation Model</t>
  </si>
  <si>
    <t>2.0</t>
  </si>
  <si>
    <t>Firmware Doc</t>
  </si>
  <si>
    <t>LVRT K-factor as used in PSSE &amp; PSCAD (EMT) simulation model. Must match firmware K-factor (Sr.33). If different, justification required. Source: PSSE &amp; PSSE &amp; PSCAD model documentation.</t>
  </si>
  <si>
    <t>PPC single phase (LVRT/HVRT) detection available</t>
  </si>
  <si>
    <t>Confirm PSSE &amp; PSCAD model includes logic for single-phase (asymmetric) LVRT/HVRT detection by PPC. Required for unbalanced fault compliance. Expected: 'Yes'. Source: PSSE &amp; PSCAD model.</t>
  </si>
  <si>
    <t>Transient current limit of IBR(s) as per model</t>
  </si>
  <si>
    <t>I_max_simulated</t>
  </si>
  <si>
    <t>Transient current limit (p.u.) of IBR as programmed in the simulation model. This is the maximum instantaneous current the IBR can inject. Typical: 1.1–1.3 p.u. Source: PSSE &amp; PSCAD model settings.</t>
  </si>
  <si>
    <t>Transient current limit of IBR(s) as per Test Report</t>
  </si>
  <si>
    <t>I_max_Test</t>
  </si>
  <si>
    <t>Transient current limit (p.u.) from type test report. Must match or align with model value (Sr.63). If different, flag for OEM clarification. Source: IBR type test report.</t>
  </si>
  <si>
    <t>Hysteresis of Inverter kept for HVRT activation de-activation</t>
  </si>
  <si>
    <t>HVRT hysteresis cycles for inverter activation/deactivation. Prevents oscillation near HVRT threshold. Typical: 2–5 cycles. Source: IBR firmware documentation.</t>
  </si>
  <si>
    <t>Hysteresis of SVG kept for HVRT activation de-activation</t>
  </si>
  <si>
    <t>HVRT hysteresis cycles for SVG. Enter 'N/A' if no SVG. Source: SVG firmware.</t>
  </si>
  <si>
    <t>Hysteresis of WTG kept for HVRT activation de-activation</t>
  </si>
  <si>
    <t>HVRT hysteresis cycles for WTG. Enter 'N/A' if pure solar. Source: WTG firmware.</t>
  </si>
  <si>
    <t>Does Master/Slave PPC freeze occur for all the above cases</t>
  </si>
  <si>
    <t>Does Master/Slave PPC enter HVRT freeze mode correctly? Expected: 'Yes' (PPC should freeze active power commands during HVRT to allow inverters to absorb reactive power). Source: PSSE &amp; PSCAD HVRT report.</t>
  </si>
  <si>
    <t>Master PPC HVRT Threshold voltage setting</t>
  </si>
  <si>
    <t>Voltage threshold (p.u.) for Master PPC HVRT mode entry. Typical: 1.10–1.15 p.u. Must match firmware and be stated in PPC methodology document.</t>
  </si>
  <si>
    <t>Slave PPC HVRT Threshold voltage setting (if available)</t>
  </si>
  <si>
    <t>Voltage threshold for Slave PPC HVRT (if applicable). Enter actual firmware value. Enter 'N/A' if no Slave PPC.</t>
  </si>
  <si>
    <t>HVRT K-factor as per firmware setting</t>
  </si>
  <si>
    <t>HVRT K-factor in firmware. K-factor for HVRT = ΔIq(absorption) / ΔV. Typical range: 2.0–6.0. Source: IBR firmware documentation.</t>
  </si>
  <si>
    <t>HVRT K-factor as per simulation model (EMT)</t>
  </si>
  <si>
    <t>HVRT K-factor in PSSE &amp; PSCAD (EMT) model. Must match firmware K-factor within acceptable tolerance. Source: PSSE &amp; PSCAD model documentation.</t>
  </si>
  <si>
    <t>HVRT K-factor as per simulation model (RMS)</t>
  </si>
  <si>
    <t>HVRT K-factor in PSS/E (RMS) model. Should be consistent with firmware and PSSE &amp; PSCAD. Source: PSS/E dynamic model documentation.</t>
  </si>
  <si>
    <t>PPC single phase detection available</t>
  </si>
  <si>
    <t>Does PPC have single-phase voltage detection for HVRT? Required for asymmetric HVRT compliance. Expected: 'Yes'. Source: PPC technical documentation.</t>
  </si>
  <si>
    <t>Frequency Response Tests</t>
  </si>
  <si>
    <t>Active Power Response observed in the frequency up (50-50.15 Hz)</t>
  </si>
  <si>
    <t>Del_P_Freq</t>
  </si>
  <si>
    <t>Active power response change (p.u.) when grid frequency rises from 50 to 50.15 Hz (slight over-frequency). Inverter should decrease output per configured droop. Source: PSSE &amp; PSCAD/PSS/E frequency response test.</t>
  </si>
  <si>
    <t>Active Power Response observed in the frequency down (50-49.85 Hz)</t>
  </si>
  <si>
    <t>Active power response change (p.u.) when grid frequency drops from 50 to 49.85 Hz (slight under-frequency). Inverter should increase output per droop. Source: Frequency response test.</t>
  </si>
  <si>
    <t>Active Power Response observed in the frequency up ( &gt;0.3Hz) within 1 second</t>
  </si>
  <si>
    <t>Active power response (p.u.) for frequency deviation &gt;0.3 Hz upward within 1 second (FFR test). CEA requirement: ≥10% of rated capacity must respond within 1 second. Source: Dynamics simulation.</t>
  </si>
  <si>
    <t>Active Power Response observed in the frequency up ( &lt;-0.3Hz) within 1 second</t>
  </si>
  <si>
    <t>Active power response (p.u.) for frequency deviation &lt;−0.3 Hz downward within 1 second. Same requirement: ≥10% of rated capacity. Source: Dynamics simulation.</t>
  </si>
  <si>
    <t>MPPC Configured Droop in Percentage</t>
  </si>
  <si>
    <t>MPPC (Master PPC) frequency droop setting in %. Acceptable range per CEA: 3%–6%. Enter exact configured value. Example: '4%' or '5%'. Source: PPC settings screenshot.</t>
  </si>
  <si>
    <t>Unit IBR /WTG settings configured for frequency control in simulation (snapshots)</t>
  </si>
  <si>
    <t xml:space="preserve">PNG/JPEG </t>
  </si>
  <si>
    <t>PNG</t>
  </si>
  <si>
    <t>unit settings for configuration.png</t>
  </si>
  <si>
    <t>Attach PNG/JPEG screenshot of IBR/WTG unit-level frequency control settings from simulation model (PSSE &amp; PSCAD/PSS/E). Shows configured droop, dead-band, and Pmax/Pmin. File name format: 'unit_freq_settings_sim.png'.</t>
  </si>
  <si>
    <t>Unit IBR /WTG settings configured for frequency control in firmware (snapshots)</t>
  </si>
  <si>
    <t>Attach PNG/JPEG screenshot of IBR/WTG unit-level frequency control settings from actual firmware HMI. Must match simulation settings (Sr.80). File name: 'unit_freq_settings_fw.png'.</t>
  </si>
  <si>
    <t>Dynamic Reactive Power Capability Tests</t>
  </si>
  <si>
    <t xml:space="preserve">MPPC Voltage Droop Setting </t>
  </si>
  <si>
    <t>MPPC voltage droop setting (%). Used for reactive power regulation. Typical range: 2%–5%. Enter exact configured value. Source: PPC settings documentation.</t>
  </si>
  <si>
    <t>MPPC Reactive Power Limits (Qmax/Qmin)</t>
  </si>
  <si>
    <t>MVAr</t>
  </si>
  <si>
    <t>Maximum and minimum reactive power (MVAr) limits as configured in MPPC. Format: 'Qmax/Qmin in MVAr'. Example: '±90 MVAr'. Must be consistent with PQ capability curve. Source: PPC settings.</t>
  </si>
  <si>
    <t>MPPC Aggregated SVG Reactive Power Limits (Qmax/Qmin)</t>
  </si>
  <si>
    <t>Aggregated SVG reactive power limits (Qmax/Qmin in MVAr) as seen by MPPC. Enter 'N/A' if no SVG. Must match SVG PQ capability. Source: PPC settings + SVG datasheet.</t>
  </si>
  <si>
    <t>MPPC Aggregated IBR/WTG Reactive Power Limits (Qmax/Qmin)</t>
  </si>
  <si>
    <t>Aggregated IBR/WTG reactive power limits (Qmax/Qmin in MVAr) as configured in MPPC. Must match total plant PQ capability curve at POI. Source: PPC settings.</t>
  </si>
  <si>
    <t>Ramping Capability Tests</t>
  </si>
  <si>
    <t>MPPC Ramp-Rate setting in PSCAD</t>
  </si>
  <si>
    <t>MW/min</t>
  </si>
  <si>
    <t>MW per minute ramp rate setting in PSSE &amp; PSCAD model for MPPC. Must be consistent with Grid Code requirements (typically ≤10 MW/min per 100 MW or as configured). Source: PSSE &amp; PSCAD PPC model.</t>
  </si>
  <si>
    <t>MPPC Active Power Max/Min Setting (Pmax/Pmin)</t>
  </si>
  <si>
    <t>Pmax and Pmin (MW) configured in MPPC for active power dispatch. Format: 'Pmax/Pmin in MW'. Example: '500 MW / 0 MW'. Source: PPC commissioning settings.</t>
  </si>
  <si>
    <t>MPPC Polling Rate</t>
  </si>
  <si>
    <t>Samples/Second</t>
  </si>
  <si>
    <t>MPPC polling rate in samples/second. This is how often the PPC reads measurements and updates commands. Minimum required: ≥10 samples/sec (per CEA advisory). Source: PPC technical specification.</t>
  </si>
  <si>
    <t>IBR Sampling Rate</t>
  </si>
  <si>
    <t>IBR unit sampling rate in samples/second. Must be ≥10 samples/sec. If less (e.g., 5/sec), flag as a compliance risk and seek OEM clarification. Source: IBR technical specification.</t>
  </si>
  <si>
    <t>MPPC-IBR Command Delay (communication channel)</t>
  </si>
  <si>
    <t>miliseconds</t>
  </si>
  <si>
    <t>Communication delay (ms) between MPPC and IBR. Include network/protocol delays. Typical: 10–50 ms. Delays &gt;100 ms may impact frequency response compliance. Source: Communication network design.</t>
  </si>
  <si>
    <t>MPPC-SVG Command Delay (communication channel)</t>
  </si>
  <si>
    <t>Communication delay (ms) between MPPC and SVG. Enter 'N/A' if no SVG. Typical: 10–50 ms. Source: Communication network design.</t>
  </si>
  <si>
    <t>MPPC PLC communication protocol details (Ethernet/TCP-IP/ModBus etc.)</t>
  </si>
  <si>
    <t>Protocol Name</t>
  </si>
  <si>
    <r>
      <t xml:space="preserve">Visual Data for Total Active Current during LVRT faults (Vdip = 0.15, 0.5,0.85) , SELECT-: Dynamic Data-RE  (Category: </t>
    </r>
    <r>
      <rPr>
        <b/>
        <sz val="48"/>
        <color theme="1"/>
        <rFont val="Calibri"/>
        <family val="2"/>
      </rPr>
      <t>Id_INV/Id_INV_max/ Id_WTG/ Id_PCS</t>
    </r>
    <r>
      <rPr>
        <sz val="48"/>
        <color theme="1"/>
        <rFont val="Calibri"/>
        <family val="2"/>
      </rPr>
      <t>)</t>
    </r>
  </si>
  <si>
    <r>
      <t xml:space="preserve">Visual Data for Total Active Current during HVRT faults (Vdip = 1.1, 1.2,1.3) , SELECT-: Dynamic Data-RE  (Category: </t>
    </r>
    <r>
      <rPr>
        <b/>
        <sz val="48"/>
        <color theme="1"/>
        <rFont val="Calibri"/>
        <family val="2"/>
      </rPr>
      <t>Id_INV/Id_INV_max/ Id_WTG/ Id_PCS</t>
    </r>
    <r>
      <rPr>
        <sz val="48"/>
        <color theme="1"/>
        <rFont val="Calibri"/>
        <family val="2"/>
      </rPr>
      <t>)</t>
    </r>
  </si>
  <si>
    <r>
      <t xml:space="preserve">Visual Data for RMS Current during LVRT 3-PH faults (Vdip = 0.15, 0.5,0.85) , SELECT-: Dynamic Data-RE  (Category: </t>
    </r>
    <r>
      <rPr>
        <b/>
        <sz val="48"/>
        <color theme="1"/>
        <rFont val="Calibri"/>
        <family val="2"/>
      </rPr>
      <t>Irms_3PH_INV_max /Irms_3PH_WTG / Irms_3PH_PCS</t>
    </r>
    <r>
      <rPr>
        <sz val="48"/>
        <color theme="1"/>
        <rFont val="Calibri"/>
        <family val="2"/>
      </rPr>
      <t>)</t>
    </r>
  </si>
  <si>
    <r>
      <t>Visual Data for Total Reactive Current during LVRT faults (Vdip = 0.15, 0.5,0.85) , SELECT-: Dynamic Data-RE  (Category:</t>
    </r>
    <r>
      <rPr>
        <b/>
        <sz val="48"/>
        <color theme="1"/>
        <rFont val="Calibri"/>
        <family val="2"/>
      </rPr>
      <t>Iq_f = Iq_pref + Del_Iq</t>
    </r>
    <r>
      <rPr>
        <sz val="48"/>
        <color theme="1"/>
        <rFont val="Calibri"/>
        <family val="2"/>
      </rPr>
      <t>)</t>
    </r>
  </si>
  <si>
    <r>
      <t>Visual Data for Total Reactive Current during HVRT faults (Vdip = 1.1, 1.2,1.3) , SELECT-: Dynamic Data-RE   (Category:</t>
    </r>
    <r>
      <rPr>
        <b/>
        <sz val="48"/>
        <color theme="1"/>
        <rFont val="Calibri"/>
        <family val="2"/>
      </rPr>
      <t>Iq_f = Iq_pref + Del_Iq</t>
    </r>
    <r>
      <rPr>
        <sz val="48"/>
        <color theme="1"/>
        <rFont val="Calibri"/>
        <family val="2"/>
      </rPr>
      <t>)</t>
    </r>
  </si>
  <si>
    <r>
      <t xml:space="preserve">Visual Data for Total Reactive Power-Capability , SELECT-: Steady State - </t>
    </r>
    <r>
      <rPr>
        <b/>
        <sz val="48"/>
        <color theme="1"/>
        <rFont val="Calibri"/>
        <family val="2"/>
      </rPr>
      <t>Q_POI/ Q_INV/ Q_WTG/ Q_SVG</t>
    </r>
  </si>
  <si>
    <r>
      <t>Visual Data for Incremental Reactive Current during LVRT 3-PH faults (Vdip = 0.15, 0.5,0.85) , SELECT-: Dynamic Data-RE  (Category:</t>
    </r>
    <r>
      <rPr>
        <b/>
        <sz val="48"/>
        <color theme="1"/>
        <rFont val="Calibri"/>
        <family val="2"/>
      </rPr>
      <t xml:space="preserve"> Del_Iq</t>
    </r>
    <r>
      <rPr>
        <sz val="48"/>
        <color theme="1"/>
        <rFont val="Calibri"/>
        <family val="2"/>
      </rPr>
      <t>)</t>
    </r>
  </si>
  <si>
    <r>
      <t xml:space="preserve">Visual Data for Incremental Reactive Current  Reactive Current during HVRT faults (Vdip = 1.1, 1.2,1.3) , SELECT-: Dynamic Data-RE   (Category: </t>
    </r>
    <r>
      <rPr>
        <b/>
        <sz val="48"/>
        <color theme="1"/>
        <rFont val="Calibri"/>
        <family val="2"/>
      </rPr>
      <t xml:space="preserve"> Del_Iq</t>
    </r>
    <r>
      <rPr>
        <sz val="48"/>
        <color theme="1"/>
        <rFont val="Calibri"/>
        <family val="2"/>
      </rPr>
      <t>)</t>
    </r>
  </si>
  <si>
    <r>
      <t>Visual Data for Incremental Reactive Current during LVRT 2-phase faults (Vdip = 0.15, 0.5,0.85) , SELECT-: Dynamic Data-RE  (Category:</t>
    </r>
    <r>
      <rPr>
        <b/>
        <sz val="48"/>
        <color theme="1"/>
        <rFont val="Calibri"/>
        <family val="2"/>
      </rPr>
      <t xml:space="preserve"> Del_Iq+/Iq-</t>
    </r>
    <r>
      <rPr>
        <sz val="48"/>
        <color theme="1"/>
        <rFont val="Calibri"/>
        <family val="2"/>
      </rPr>
      <t>)</t>
    </r>
  </si>
  <si>
    <r>
      <t>Visual Data for Total Reactive Current during LVRT 2-phase faults (Vdip = 0.15, 0.5,0.85) , SELECT-: Dynamic Data-RE  (Category:</t>
    </r>
    <r>
      <rPr>
        <b/>
        <sz val="48"/>
        <color theme="1"/>
        <rFont val="Calibri"/>
        <family val="2"/>
      </rPr>
      <t xml:space="preserve"> Iq_f = Iq_pref + Del_Iq</t>
    </r>
    <r>
      <rPr>
        <sz val="48"/>
        <color theme="1"/>
        <rFont val="Calibri"/>
        <family val="2"/>
      </rPr>
      <t>)</t>
    </r>
  </si>
  <si>
    <t>Visual Data for Power-Quality (Current Distortion)</t>
  </si>
  <si>
    <t>Standard Test Cases for Renewable Energy Sources</t>
  </si>
  <si>
    <t>Test No.</t>
  </si>
  <si>
    <t>Unit level(UIBR), USVG/Plant level(P)</t>
  </si>
  <si>
    <t>Type of Study</t>
  </si>
  <si>
    <t xml:space="preserve">Test Type </t>
  </si>
  <si>
    <t>Parameters</t>
  </si>
  <si>
    <t>Key Parameters (auto)</t>
  </si>
  <si>
    <t>Domain (RMS/ EMT)</t>
  </si>
  <si>
    <t>File Name(pdf)</t>
  </si>
  <si>
    <t>File Name(PSSE/PSCAD)</t>
  </si>
  <si>
    <t>Compliance Observed</t>
  </si>
  <si>
    <t>UIBR</t>
  </si>
  <si>
    <t>PQ Capability Curve of IBR / WTG</t>
  </si>
  <si>
    <t>POI Voltage (pu) - 1</t>
  </si>
  <si>
    <t>RMS</t>
  </si>
  <si>
    <t>TC_001_RMS_Results.pdf</t>
  </si>
  <si>
    <t>test.sav</t>
  </si>
  <si>
    <t>PQ Capability Curve Test | Level: UIBR | Domain: RMS
▶ File Name (PDF): Attach the P-Q diagram showing full reactive capability at this POI voltage. Must cover the entire operating range from maximum absorption to maximum injection.
▶ File Name (Sim): Provide 'test.sav' steady-state model file used to generate the PQ curve.</t>
  </si>
  <si>
    <t xml:space="preserve"> PQ Capability Curve of IBR / WTG</t>
  </si>
  <si>
    <t>POI Voltage (pu) - 0.95</t>
  </si>
  <si>
    <t>TC_002_RMS_Results.pdf</t>
  </si>
  <si>
    <t>POI Voltage (pu) - 1.05</t>
  </si>
  <si>
    <t>TC_003_RMS_Results.pdf</t>
  </si>
  <si>
    <t>PQ Capability Curve Test | Level: UIBR | Domain: RMS
▶ File Name (PDF): Attach the P-Q diagram showing full reactive capability at this POI voltage. Must cover the entire operating range from maximum absorption to maximum injection.
▶ File Name (Sim): Provide 'test.sav' steady-state model file used to generate the PQ curve</t>
  </si>
  <si>
    <t>Dynamic</t>
  </si>
  <si>
    <t>Capability to operate in frequency range: 47.5Hz to 52Hz with +/-5% voltage variation</t>
  </si>
  <si>
    <t>POI Voltage:1;   
Frequency change (Hz): 50 to 47.7 Hz; 
Power Factor: Any</t>
  </si>
  <si>
    <t>Capability to operate in frequency range: 47.5Hz to 52Hz with +/-5% voltage variation; POI Voltage:1;   
Frequency change (Hz): 50 to 47.7 Hz; 
Power Factor: Any</t>
  </si>
  <si>
    <t>TC_004_RMS_Results.pdf</t>
  </si>
  <si>
    <t>Frequency Response Test | Level: UIBR | Domain: RMS
▶ File Name (PDF): Attach simulation output showing frequency step and corresponding active power response. Include time plots for frequency (Hz) and P (pu). Droop response must be visible within the configured dead-band.
▶ File Name (Sim): Provide 'test.sav' model file configured with PPC frequency flag ON for this test.
▶ Key check: Droop must be in range 3%–6%; FFR tests require ≥10% P response within 1 second for |Δf| &gt; 0.3 Hz.</t>
  </si>
  <si>
    <t>POI Voltage:1; 
Frequency Change (Hz): 50 to 47.7 Hz; 
Power Factor: Any</t>
  </si>
  <si>
    <t>Capability to operate in frequency range: 47.5Hz to 52Hz with +/-5% voltage variation; POI Voltage:1; 
Frequency Change (Hz): 50 to 47.7 Hz; 
Power Factor: Any</t>
  </si>
  <si>
    <t>TC_005_RMS_Results.pdf</t>
  </si>
  <si>
    <t>Capability to provide rated output in frequency range of 49.5Hz to 50.5Hz with +/-5% voltage variation</t>
  </si>
  <si>
    <t>POI Voltage: 0.95 
Frequency Change (Hz): 50 to 49.5 Hz; 
Power Factor: 0.95 Lagging
Active Power Dispatch(pu) - 1.0 pu</t>
  </si>
  <si>
    <t>Capability to provide rated output in frequency range of 49.5Hz to 50.5Hz with +/-5% voltage variation; POI Voltage: 0.95 
Frequency Change (Hz): 50 to 49.5 Hz; 
Power Factor: 0.95 Lagging
Active Power Dispatch(pu) - 1.0 pu; Lagging (0.95)</t>
  </si>
  <si>
    <t>TC_006_RMS_Results.pdf</t>
  </si>
  <si>
    <t>POI Voltage: 1.05
Frequency Change (Hz): 50 to 49.5 Hz; 
Power Factor: 0.95 Leading
Active Power Dispatch(pu) - 1.0 pu</t>
  </si>
  <si>
    <t>Capability to provide rated output in frequency range of 49.5Hz to 50.5Hz with +/-5% voltage variation; POI Voltage: 1.05
Frequency Change (Hz): 50 to 49.5 Hz; 
Power Factor: 0.95 Leading
Active Power Dispatch(pu) - 1.0 pu; Leading (0.95)</t>
  </si>
  <si>
    <t>TC_007_RMS_Results.pdf</t>
  </si>
  <si>
    <t>POI Voltage: 0.95
Frequency Change (Hz): 50 to 50.5 Hz; 
Power Factor: 0.95 Lagging
Active Power Dispatch(pu) - 1.0 pu</t>
  </si>
  <si>
    <t>Capability to provide rated output in frequency range of 49.5Hz to 50.5Hz with +/-5% voltage variation; POI Voltage: 0.95
Frequency Change (Hz): 50 to 50.5 Hz; 
Power Factor: 0.95 Lagging
Active Power Dispatch(pu) - 1.0 pu; Lagging (0.95)</t>
  </si>
  <si>
    <t>TC_008_RMS_Results.pdf</t>
  </si>
  <si>
    <t>POI Voltage: 1.05
Frequency Change (Hz): 50 to 50.5 Hz; 
Power Factor: 0.95 Leading
Active Power Dispatch(pu) - 1.0 pu</t>
  </si>
  <si>
    <t>Capability to provide rated output in frequency range of 49.5Hz to 50.5Hz with +/-5% voltage variation; POI Voltage: 1.05
Frequency Change (Hz): 50 to 50.5 Hz; 
Power Factor: 0.95 Leading
Active Power Dispatch(pu) - 1.0 pu; Leading (0.95)</t>
  </si>
  <si>
    <t>TC_009_RMS_Results.pdf</t>
  </si>
  <si>
    <t>Low voltage ride through</t>
  </si>
  <si>
    <t>LVRT Target voltge(pu) - 0.85
Duration of voltage dip(sec) - 3.0 sec
Pre-fault Active Power Dispatch(pu) - 1.0
Nature of voltage dip - Balanced Three Phase</t>
  </si>
  <si>
    <t>Low voltage ride through; LVRT Target voltge(pu) - 0.85
Duration of voltage dip(sec) - 3.0 sec
Pre-fault Active Power Dispatch(pu) - 1.0
Nature of voltage dip - Balanced Three Phase; Balanced  Three Phase</t>
  </si>
  <si>
    <t>TC_010_RMS_Results.pdf</t>
  </si>
  <si>
    <t>LVRT Test | Level: UIBR | Domain: RMS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'test.sav'. For PSS/E: .SAV + .DYR file; for PSCAD: .pscx/.pswx file. File should reproduce the exact test case documented in the report.
▶ Key checks: No inverter tripping, ΔIq &gt; 0 during fault, active power recovers ≥90% within 1 sec of clearance.</t>
  </si>
  <si>
    <t>LVRT Target voltge(pu) - 0.5
Duration of voltage dip(sec) - 1.65 sec
Pre-fault Active Power Dispatch(pu) - 1.0
Nature of voltage dip - Balanced Three Phase</t>
  </si>
  <si>
    <t>Low voltage ride through; LVRT Target voltge(pu) - 0.5
Duration of voltage dip(sec) - 1.65 sec
Pre-fault Active Power Dispatch(pu) - 1.0
Nature of voltage dip - Balanced Three Phase; Balanced  Three Phase</t>
  </si>
  <si>
    <t>TC_011_RMS_Results.pdf</t>
  </si>
  <si>
    <t>LVRT Target voltge(pu) - 0.15
Duration of voltage dip(sec) - 0.3 sec
Pre-fault Active Power Dispatch(pu) - 1.0
Nature of voltage dip - Balanced Three Phase</t>
  </si>
  <si>
    <t>Low voltage ride through; LVRT Target voltge(pu) - 0.15
Duration of voltage dip(sec) - 0.3 sec
Pre-fault Active Power Dispatch(pu) - 1.0
Nature of voltage dip - Balanced Three Phase; Balanced  Three Phase</t>
  </si>
  <si>
    <t>TC_012_RMS_Results.pdf</t>
  </si>
  <si>
    <t>LVRT Target voltge(pu) - 0.85
Duration of voltage dip(sec) - 3 sec
Pre-fault Active Power Dispatch(pu) - 0.5
Nature of voltage dip - Balanced Three Phase</t>
  </si>
  <si>
    <t>Low voltage ride through; LVRT Target voltge(pu) - 0.85
Duration of voltage dip(sec) - 3 sec
Pre-fault Active Power Dispatch(pu) - 0.5
Nature of voltage dip - Balanced Three Phase; Balanced  Three Phase</t>
  </si>
  <si>
    <t>TC_013_RMS_Results.pdf</t>
  </si>
  <si>
    <t>LVRT Target voltge(pu) - 0.5
Duration of voltage dip(sec) - 1.65 sec
Pre-fault Active Power Dispatch(pu) - 0.5 pu
Nature of voltage dip - Balanced Three Phase</t>
  </si>
  <si>
    <t>Low voltage ride through; LVRT Target voltge(pu) - 0.5
Duration of voltage dip(sec) - 1.65 sec
Pre-fault Active Power Dispatch(pu) - 0.5 pu
Nature of voltage dip - Balanced Three Phase; Balanced  Three Phase</t>
  </si>
  <si>
    <t>TC_014_RMS_Results.pdf</t>
  </si>
  <si>
    <t>LVRT Target voltge(pu) - 0.5
Duration of voltage dip(sec) - 0.3 sec
Pre-fault Active Power Dispatch(pu) - 0.5 pu
Nature of voltage dip - Balanced Three Phase</t>
  </si>
  <si>
    <t>Low voltage ride through; LVRT Target voltge(pu) - 0.5
Duration of voltage dip(sec) - 0.3 sec
Pre-fault Active Power Dispatch(pu) - 0.5 pu
Nature of voltage dip - Balanced Three Phase; Balanced  Three Phase</t>
  </si>
  <si>
    <t>TC_015_RMS_Results.pdf</t>
  </si>
  <si>
    <t>LVRT Target voltge(pu) - 0.85
Duration of voltage dip(sec) - 3.0 sec
Pre-fault Active Power Dispatch(pu) - 0.25
Nature of voltage dip - Balanced Three Phase</t>
  </si>
  <si>
    <t>Low voltage ride through; LVRT Target voltge(pu) - 0.85
Duration of voltage dip(sec) - 3.0 sec
Pre-fault Active Power Dispatch(pu) - 0.25
Nature of voltage dip - Balanced Three Phase; Balanced  Three Phase</t>
  </si>
  <si>
    <t>TC_016_RMS_Results.pdf</t>
  </si>
  <si>
    <t>LVRT Target voltge(pu) - 0.5
Duration of voltage dip(sec) - 1.65 sec
Pre-fault Active Power Dispatch(pu) - 0.25
Nature of voltage dip - Balanced Three Phase</t>
  </si>
  <si>
    <t>Low voltage ride through; LVRT Target voltge(pu) - 0.5
Duration of voltage dip(sec) - 1.65 sec
Pre-fault Active Power Dispatch(pu) - 0.25
Nature of voltage dip - Balanced Three Phase; Balanced  Three Phase</t>
  </si>
  <si>
    <t>TC_017_RMS_Results.pdf</t>
  </si>
  <si>
    <t>LVRT Target voltge(pu) - 0.15
Duration of voltage dip(sec) - 0.3 sec
Pre-fault Active Power Dispatch(pu) - 0.25
Nature of voltage dip - Balanced Three Phase</t>
  </si>
  <si>
    <t>Low voltage ride through; LVRT Target voltge(pu) - 0.15
Duration of voltage dip(sec) - 0.3 sec
Pre-fault Active Power Dispatch(pu) - 0.25
Nature of voltage dip - Balanced Three Phase</t>
  </si>
  <si>
    <t>TC_018_RMS_Results.pdf</t>
  </si>
  <si>
    <t>Active power set-point and Rate of change of active power</t>
  </si>
  <si>
    <t>Active power set-point and Ramp up test(ramp rate &lt; 10% per minute) 
POI Voltage - 1.0 pu</t>
  </si>
  <si>
    <t>Active power set-point and Rate of change of active power; Active power set-point and Ramp up test(ramp rate &lt; 10% per minute) 
POI Voltage - 1.0 pu</t>
  </si>
  <si>
    <t>TC_019_RMS_Results.pdf</t>
  </si>
  <si>
    <t>Ramp Rate / Active Power Set-point Test | Level: UIBR | Domain: RMS
▶ File Name (PDF): Attach simulation output showing ramp-up/ramp-down power response over time. Plot must show ramp rate (MW/min) and confirm it is ≤10% of rated per minute.
▶ File Name (Sim): Provide 'test.sav' model file for this ramp test.
▶ Key check: Ramp rate ≤10% of rated MW per minute as required by CEA/Grid Code.</t>
  </si>
  <si>
    <t>Active power set-point and Ramp down test (ramp rate &lt; 10% per minute)
POI Voltage - 1.0 pu</t>
  </si>
  <si>
    <t>Active power set-point and Rate of change of active power; Active power set-point and Ramp down test (ramp rate &lt; 10% per minute)
POI Voltage - 1.0 pu; POI Voltage - 1.0 pu</t>
  </si>
  <si>
    <t>TC_020_RMS_Results.pdf</t>
  </si>
  <si>
    <t>Frequency response test (any droop in range of 3 - 6%)</t>
  </si>
  <si>
    <t>Frequency Change: 50 to 50.15 Hz
Active Power Dispatch(pu): 0.9 - 1.0
POI/PCC Voltage(pu) - 1.0
Power Factor(pf): Unity</t>
  </si>
  <si>
    <t>Frequency response test (any droop in range of 3 - 6%); Frequency Change: 50 to 50.15 Hz
Active Power Dispatch(pu): 0.9 - 1.0
POI/PCC Voltage(pu) - 1.0
Power Factor(pf): Unity</t>
  </si>
  <si>
    <t>TC_021_RMS_Results.pdf</t>
  </si>
  <si>
    <t>Frequency Change: 50 to 50.15 Hz
Active Power Dispatch(pu): 0.5
POI/PCC Voltage(pu) - 1.0
Power Factor(pf): Unity</t>
  </si>
  <si>
    <t>Frequency response test (any droop in range of 3 - 6%); Frequency Change: 50 to 50.15 Hz
Active Power Dispatch(pu): 0.5
POI/PCC Voltage(pu) - 1.0
Power Factor(pf): Unity</t>
  </si>
  <si>
    <t>TC_022_RMS_Results.pdf</t>
  </si>
  <si>
    <t>Frequency Change: 50 to 50.15 Hz
Active Power Dispatch(pu): 0.1
POI/PCC Voltage(pu) - 1.0
Power Factor(pf) - Unity</t>
  </si>
  <si>
    <t>Frequency response test (any droop in range of 3 - 6%); Frequency Change: 50 to 50.15 Hz
Active Power Dispatch(pu): 0.1
POI/PCC Voltage(pu) - 1.0
Power Factor(pf) - Unity</t>
  </si>
  <si>
    <t>TC_023_RMS_Results.pdf</t>
  </si>
  <si>
    <t>Frequency Change: 50 to 49.85 Hz
Active Power Dispatch(pu): 0.5
POI/PCC Voltage(pu) - 1.0
Power Factor(pf) - Unity</t>
  </si>
  <si>
    <t>Frequency response test (any droop in range of 3 - 6%); Frequency Change: 50 to 49.85 Hz
Active Power Dispatch(pu): 0.5
POI/PCC Voltage(pu) - 1.0
Power Factor(pf) - Unity</t>
  </si>
  <si>
    <t>TC_024_RMS_Results.pdf</t>
  </si>
  <si>
    <t>Frequency Change: 50 to 49.85 Hz
Active Power Dispatch(pu): 0.1
POI/PCC Voltage(pu) - 1.0
Power Factor(pf) - Unity</t>
  </si>
  <si>
    <t>Frequency response test (any droop in range of 3 - 6%); Frequency Change: 50 to 49.85 Hz
Active Power Dispatch(pu): 0.1
POI/PCC Voltage(pu) - 1.0
Power Factor(pf) - Unity</t>
  </si>
  <si>
    <t>TC_025_RMS_Results.pdf</t>
  </si>
  <si>
    <t>Demonstration of immediate (within 1 second) real power primary frequency response of at least 10% of maximum Alternating Current active power capacity for frequency deviation in excess of 0.3 Hz</t>
  </si>
  <si>
    <t>Greater than 0.3Hz (upwards)
Active Power Dispatch(pu): 0.9 - 1.0
POI/PCC Voltage (pu) - 1.0
Power factor(pf) - Unity</t>
  </si>
  <si>
    <t>Demonstration of immediate (within 1 second) real power primary frequency response of at least 10% of maximum Alternating Current active power capacity for frequency deviation in excess of 0.3 Hz; Greater than 0.3Hz (upwards)
Active Power Dispatch(pu): 0.9 - 1.0
POI/PCC Voltage (pu) - 1.0
Power factor(pf) - Unity</t>
  </si>
  <si>
    <t>TC_026_RMS_Results.pdf</t>
  </si>
  <si>
    <t>Greater than 0.3Hz (downwards)
Active Power Dispatch(pu): 0.9 - 1.0
POI/PCC Voltage (pu) - 1.0
Power factor(pf) - Unity</t>
  </si>
  <si>
    <t>Demonstration of immediate (within 1 second) real power primary frequency response of at least 10% of maximum Alternating Current active power capacity for frequency deviation in excess of 0.3 Hz; Greater than 0.3Hz (downwards)
Active Power Dispatch(pu): 0.9 - 1.0
POI/PCC Voltage (pu) - 1.0
Power factor(pf) - Unity</t>
  </si>
  <si>
    <t>TC_027_RMS_Results.pdf</t>
  </si>
  <si>
    <t>High voltage ride through</t>
  </si>
  <si>
    <t xml:space="preserve">HVRT Target Voltage (pu) - 1.3
Duration of voltage rise (sec) - 0.2
Initial Active Power dispatch  (pu) - 1.0 
Nature of voltage rise - Balanced Three phase </t>
  </si>
  <si>
    <t>High voltage ride through; HVRT Target Voltage (pu) - 1.3
Duration of voltage rise (sec) - 0.2
Initial Active Power dispatch  (pu) - 1.0 
Nature of voltage rise - Balanced Three phase; Balanced Three Phase</t>
  </si>
  <si>
    <t>TC_028_RMS_Results.pdf</t>
  </si>
  <si>
    <t>HVRT Test | Level: UIBR | Domain: RMS
▶ File Name (PDF): Attach simulation output showing voltage, P, Q, Id, Iq time plots for this HVRT case. Verify inverter absorbs reactive power (negative ΔIq) during voltage rise. Format: 'TC_&lt;NNN&gt;_&lt;RMS/EMT&gt;_Results.pdf'.
▶ File Name (Sim): Provide 'test.sav' model file replicating this exact HVRT scenario.
▶ Key checks: No tripping, reactive absorption as per K-factor, active power maintained.</t>
  </si>
  <si>
    <t xml:space="preserve">HVRT Target Voltage (pu) - 1.2
Duration of voltage rise (sec) - 2
Initial Active Power dispatch  (pu) - 1.0 
Nature of voltage rise - Balanced Three phase </t>
  </si>
  <si>
    <t>High voltage ride through; HVRT Target Voltage (pu) - 1.2
Duration of voltage rise (sec) - 2
Initial Active Power dispatch  (pu) - 1.0 
Nature of voltage rise - Balanced Three phase; Balanced Three Phase</t>
  </si>
  <si>
    <t>TC_029_RMS_Results.pdf</t>
  </si>
  <si>
    <t xml:space="preserve">HVRT Target Voltage (pu) - 1.3
Duration of voltage rise (sec) - 0.2
Initial Active Power dispatch  (pu) - 0.5
Nature of voltage rise - Balanced Three phase </t>
  </si>
  <si>
    <t>High voltage ride through; HVRT Target Voltage (pu) - 1.3
Duration of voltage rise (sec) - 0.2
Initial Active Power dispatch  (pu) - 0.5
Nature of voltage rise - Balanced Three phase; Balanced Three Phase</t>
  </si>
  <si>
    <t>TC_030_RMS_Results.pdf</t>
  </si>
  <si>
    <t xml:space="preserve">HVRT Target Voltage (pu) - 1.2
Duration of voltage rise (sec) - 2
Initial Active Power dispatch  (pu) - 0.5
Nature of voltage rise - Balanced Three phase </t>
  </si>
  <si>
    <t>High voltage ride through; HVRT Target Voltage (pu) - 1.2
Duration of voltage rise (sec) - 2
Initial Active Power dispatch  (pu) - 0.5
Nature of voltage rise - Balanced Three phase; Balanced Three Phase</t>
  </si>
  <si>
    <t>TC_031_RMS_Results.pdf</t>
  </si>
  <si>
    <t xml:space="preserve">HVRT Target Voltage (pu) - 1.3
Duration of voltage rise (sec) - 0.2
Initial Active Power dispatch  (pu) - 0.25
Nature of voltage rise - Balanced Three phase </t>
  </si>
  <si>
    <t>High voltage ride through; HVRT Target Voltage (pu) - 1.3
Duration of voltage rise (sec) - 0.2
Initial Active Power dispatch  (pu) - 0.25
Nature of voltage rise - Balanced Three phase; Balanced Three Phase</t>
  </si>
  <si>
    <t>TC_032_RMS_Results.pdf</t>
  </si>
  <si>
    <t>HVRT Target Voltage (pu) - 1.2
Duration of voltage rise (sec) - 2
Initial Active Power dispatch  (pu) - 0.25
Nature of voltage rise - Balanced Three phase</t>
  </si>
  <si>
    <t>High voltage ride through; HVRT Target Voltage (pu) - 1.2
Duration of voltage rise (sec) - 2
Initial Active Power dispatch  (pu) - 0.25
Nature of voltage rise - Balanced Three phase; Balanced Three Phase</t>
  </si>
  <si>
    <t>TC_033_RMS_Results.pdf</t>
  </si>
  <si>
    <t>POI/PCC Voltage (pu) - 1.0</t>
  </si>
  <si>
    <t>EMT</t>
  </si>
  <si>
    <t>TC_034_EMT_Results.pdf</t>
  </si>
  <si>
    <t>test.pscx</t>
  </si>
  <si>
    <t>PQ Capability Curve Test | Level: UIBR | Domain: EMT
▶ File Name (PDF): Attach the P-Q diagram showing full reactive capability at this POI voltage. Must cover the entire operating range from maximum absorption to maximum injection.
▶ File Name (Sim): Provide 'test.pscx' steady-state model file used to generate the PQ curve.
▶ Key check: PQ envelope must meet CEA grid code requirements (0.95 pf lag to 0.95 pf lead at rated P).</t>
  </si>
  <si>
    <t>POI/PCC Voltage (pu) -0.95</t>
  </si>
  <si>
    <t>TC_035_EMT_Results.pdf</t>
  </si>
  <si>
    <t>POI/PCC Voltage (pu) -1.05</t>
  </si>
  <si>
    <t>TC_036_EMT_Results.pdf</t>
  </si>
  <si>
    <t>Frequency change (Hz): 50 to 47.5; POI Voltage (pu): 1; Power factor: Any;</t>
  </si>
  <si>
    <t>Frequency change (Hz): 50 to 47.5; POI Voltage (pu): 1; Power factor: Any; Capability to operate in frequency range: 47.5Hz to 52Hz with +/-5% voltage variation</t>
  </si>
  <si>
    <t>TC_037_EMT_Results.pdf</t>
  </si>
  <si>
    <t>Frequency Response Test | Level: UIBR | Domain: EMT
▶ File Name (PDF): Attach simulation output showing frequency step and corresponding active power response. Include time plots for frequency (Hz) and P (pu). Droop response must be visible within the configured dead-band.
▶ File Name (Sim): Provide 'test.pscx' model file configured with PPC frequency flag ON for this test.
▶ Key check: Droop must be in range 3%–6%; FFR tests require ≥10% P response within 1 second for |Δf| &gt; 0.3 Hz.</t>
  </si>
  <si>
    <t xml:space="preserve">Frequency change (Hz): 50 to 52; POI Voltage (pu): 1; Power factor: Any; </t>
  </si>
  <si>
    <t>Frequency change (Hz): 50 to 52; POI Voltage (pu): 1; Power factor: Any; Capability to operate in frequency range: 47.5Hz to 52Hz with +/-5% voltage variation</t>
  </si>
  <si>
    <t>TC_038_EMT_Results.pdf</t>
  </si>
  <si>
    <t xml:space="preserve">Frequency change (Hz): 50 to 49.5; POI /PCC Voltage (pu): 0.95; Power factor (pf): Lagging (0.95); Active Power dispatch (pu): 1; </t>
  </si>
  <si>
    <t>Frequency change (Hz): 50 to 49.5; POI /PCC Voltage (pu): 0.95; Power factor (pf): Lagging (0.95); Active Power dispatch (pu): 1; Capability to provide rated output in frequency range of 49.5Hz to 50.5Hz with +/-5% voltage variation; Lagging (0.95)</t>
  </si>
  <si>
    <t>TC_039_EMT_Results.pdf</t>
  </si>
  <si>
    <t xml:space="preserve">POI /PCC Voltage (pu): 1.05; Power factor (pf): Leading (0.95); Active Power dispatch (pu): 1; </t>
  </si>
  <si>
    <t>POI /PCC Voltage (pu): 1.05; Power factor (pf): Leading (0.95); Leading (0.95)</t>
  </si>
  <si>
    <t>TC_040_EMT_Results.pdf</t>
  </si>
  <si>
    <t xml:space="preserve">Frequency change (Hz): 50 to 50.5; POI /PCC Voltage (pu): 0.95; Power factor (pf): Lagging (0.95); Active Power dispatch (pu): 1; </t>
  </si>
  <si>
    <t>Frequency change (Hz): 50 to 50.5; POI /PCC Voltage (pu): 0.95; Power factor (pf): Lagging (0.95); Active Power dispatch (pu): 1; Lagging (0.95)</t>
  </si>
  <si>
    <t>TC_041_EMT_Results.pdf</t>
  </si>
  <si>
    <t>TC_042_EMT_Results.pdf</t>
  </si>
  <si>
    <t xml:space="preserve"> Low Voltage Ride Through (LVRT) </t>
  </si>
  <si>
    <t>LVRT Target Voltage (pu): 0.85; Duration of voltage dip (sec): 3; Pre - fault Active Power dispatch (pu): 1; Nature of voltage dip: Balanced Three phase; ; Balanced Three phase</t>
  </si>
  <si>
    <t>LVRT Target Voltage (pu): 0.85; Duration of voltage dip (sec): 3; Pre - fault Active Power dispatch (pu): 1; Nature of voltage dip: Balanced Three phase; Low Voltage Ride Through (LVRT); Balanced Three phase</t>
  </si>
  <si>
    <t>TC_043_EMT_Results.pdf</t>
  </si>
  <si>
    <t>LVRT Test | Level: UIBR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</si>
  <si>
    <t>LVRT Target Voltage (pu): 0.5; Duration of voltage dip (sec): 1.65; Pre - fault Active Power dispatch (pu): 1; Nature of voltage dip: Balanced Three phase; ; Balanced Three phase</t>
  </si>
  <si>
    <t>LVRT Target Voltage (pu): 0.5; Duration of voltage dip (sec): 1.65; Pre - fault Active Power dispatch (pu): 1; Nature of voltage dip: Balanced Three phase; Low Voltage Ride Through (LVRT); Balanced Three phase</t>
  </si>
  <si>
    <t>TC_044_EMT_Results.pdf</t>
  </si>
  <si>
    <t>LVRT Target Voltage (pu): 0.15; Duration of voltage dip (sec): 0.3; Pre - fault Active Power dispatch (pu): 1; Nature of voltage dip: Balanced Three phase; ; Balanced Three phase</t>
  </si>
  <si>
    <t>LVRT Target Voltage (pu): 0.15; Duration of voltage dip (sec): 0.3; Pre - fault Active Power dispatch (pu): 1; Nature of voltage dip: Balanced Three phase; Low Voltage Ride Through (LVRT); Balanced Three phase</t>
  </si>
  <si>
    <t>TC_045_EMT_Results.pdf</t>
  </si>
  <si>
    <t>LVRT Target Voltage (pu): 0.85; Duration of voltage dip (sec): 3; Pre - fault Active Power dispatch (pu): 1; Nature of voltage dip: Unbalanced (LL); ; Unbalanced (LL)</t>
  </si>
  <si>
    <t>LVRT Target Voltage (pu): 0.85; Duration of voltage dip (sec): 3; Pre - fault Active Power dispatch (pu): 1; Nature of voltage dip: Unbalanced (LL); Low Voltage Ride Through (LVRT); Unbalanced (LL)</t>
  </si>
  <si>
    <t>TC_046_EMT_Results.pdf</t>
  </si>
  <si>
    <t>LVRT Target Voltage (pu): 0.5; Duration of voltage dip (sec): 1.65; Pre - fault Active Power dispatch (pu): 1; Nature of voltage dip: Unbalanced (LL); ; Unbalanced (LL)</t>
  </si>
  <si>
    <t>LVRT Target Voltage (pu): 0.5; Duration of voltage dip (sec): 1.65; Pre - fault Active Power dispatch (pu): 1; Nature of voltage dip: Unbalanced (LL); Low Voltage Ride Through (LVRT); Unbalanced (LL)</t>
  </si>
  <si>
    <t>TC_047_EMT_Results.pdf</t>
  </si>
  <si>
    <t>LVRT Target Voltage (pu): 0.15; Duration of voltage dip (sec): 0.3; Pre - fault Active Power dispatch (pu): 1; Nature of voltage dip: Unbalanced (LL); ; Unbalanced (LL)</t>
  </si>
  <si>
    <t>LVRT Target Voltage (pu): 0.15; Duration of voltage dip (sec): 0.3; Pre - fault Active Power dispatch (pu): 1; Nature of voltage dip: Unbalanced (LL); Low Voltage Ride Through (LVRT); Unbalanced (LL)</t>
  </si>
  <si>
    <t>TC_048_EMT_Results.pdf</t>
  </si>
  <si>
    <t xml:space="preserve">LVRT Target Voltage (pu): 0.85; Duration of voltage dip (sec): 3; Pre - fault Active Power dispatch (pu): 1; Nature of voltage dip: Unbalanced (L); </t>
  </si>
  <si>
    <t>LVRT Target Voltage (pu): 0.85; Duration of voltage dip (sec): 3; Pre - fault Active Power dispatch (pu): 1; Nature of voltage dip: Unbalanced (L); Low Voltage Ride Through (LVRT); Unbalanced (L)</t>
  </si>
  <si>
    <t>TC_049_EMT_Results.pdf</t>
  </si>
  <si>
    <t xml:space="preserve">LVRT Target Voltage (pu): 0.5; Duration of voltage dip (sec): 1.65; Pre - fault Active Power dispatch (pu): 1; Nature of voltage dip: Unbalanced (L); </t>
  </si>
  <si>
    <t>LVRT Target Voltage (pu): 0.5; Duration of voltage dip (sec): 1.65; Pre - fault Active Power dispatch (pu): 1; Nature of voltage dip: Unbalanced (L); Low Voltage Ride Through (LVRT); Unbalanced (L)</t>
  </si>
  <si>
    <t>TC_050_EMT_Results.pdf</t>
  </si>
  <si>
    <t xml:space="preserve">LVRT Target Voltage (pu): 0.15; Duration of voltage dip (sec): 0.3; Pre - fault Active Power dispatch (pu): 1; Nature of voltage dip: Unbalanced (L); </t>
  </si>
  <si>
    <t>LVRT Target Voltage (pu): 0.15; Duration of voltage dip (sec): 0.3; Pre - fault Active Power dispatch (pu): 1; Nature of voltage dip: Unbalanced (L); Low Voltage Ride Through (LVRT); Unbalanced (L)</t>
  </si>
  <si>
    <t>TC_051_EMT_Results.pdf</t>
  </si>
  <si>
    <t>LVRT Target Voltage (pu): 0.85; Duration of voltage dip (sec): 3; Pre - fault Active Power dispatch (pu): 0.5; Nature of voltage dip: Balanced Three phase; Low Voltage Ride Through (LVRT); Balanced Three phase</t>
  </si>
  <si>
    <t>TC_052_EMT_Results.pdf</t>
  </si>
  <si>
    <t>LVRT Target Voltage (pu): 0.5; Duration of voltage dip (sec): 1.65; Pre - fault Active Power dispatch (pu): 0.5; Nature of voltage dip: Balanced Three phase; Low Voltage Ride Through (LVRT); Balanced Three phase</t>
  </si>
  <si>
    <t>TC_053_EMT_Results.pdf</t>
  </si>
  <si>
    <t>LVRT Target Voltage (pu): 0.15; Duration of voltage dip (sec): 0.3; Pre - fault Active Power dispatch (pu): 0.5; Nature of voltage dip: Balanced Three phase; Low Voltage Ride Through (LVRT); Balanced Three phase</t>
  </si>
  <si>
    <t>TC_054_EMT_Results.pdf</t>
  </si>
  <si>
    <t>LVRT Target Voltage (pu): 0.85; Duration of voltage dip (sec): 3; Pre - fault Active Power dispatch (pu): 0.5; Nature of voltage dip: Unbalanced (LL); Low Voltage Ride Through (LVRT); Unbalanced (LL)</t>
  </si>
  <si>
    <t>TC_055_EMT_Results.pdf</t>
  </si>
  <si>
    <t>LVRT Target Voltage (pu): 0.5; Duration of voltage dip (sec): 1.65; Pre - fault Active Power dispatch (pu): 0.5; Nature of voltage dip: Unbalanced (LL); Low Voltage Ride Through (LVRT); Unbalanced (LL)</t>
  </si>
  <si>
    <t>TC_056_EMT_Results.pdf</t>
  </si>
  <si>
    <t>LVRT Target Voltage (pu): 0.15; Duration of voltage dip (sec): 0.3; Pre - fault Active Power dispatch (pu): 0.5; Nature of voltage dip: Unbalanced (LL); Low Voltage Ride Through (LVRT); Unbalanced (LL)</t>
  </si>
  <si>
    <t>TC_057_EMT_Results.pdf</t>
  </si>
  <si>
    <t xml:space="preserve">LVRT Target Voltage (pu): 0.85; Duration of voltage dip (sec): 3; Pre - fault Active Power dispatch (pu): 0.5; Nature of voltage dip: Unbalanced (L); </t>
  </si>
  <si>
    <t>LVRT Target Voltage (pu): 0.85; Duration of voltage dip (sec): 3; Pre - fault Active Power dispatch (pu): 0.5; Nature of voltage dip: Unbalanced (L); Low Voltage Ride Through (LVRT); Unbalanced (L)</t>
  </si>
  <si>
    <t>TC_058_EMT_Results.pdf</t>
  </si>
  <si>
    <t xml:space="preserve">LVRT Target Voltage (pu): 0.5; Duration of voltage dip (sec): 1.65; Pre - fault Active Power dispatch (pu): 0.5; Nature of voltage dip: Unbalanced (L); </t>
  </si>
  <si>
    <t>LVRT Target Voltage (pu): 0.5; Duration of voltage dip (sec): 1.65; Pre - fault Active Power dispatch (pu): 0.5; Nature of voltage dip: Unbalanced (L); Low Voltage Ride Through (LVRT); Unbalanced (L)</t>
  </si>
  <si>
    <t>TC_059_EMT_Results.pdf</t>
  </si>
  <si>
    <t xml:space="preserve">LVRT Target Voltage (pu): 0.15; Duration of voltage dip (sec): 0.3; Pre - fault Active Power dispatch (pu): 0.5; Nature of voltage dip: Unbalanced (L); </t>
  </si>
  <si>
    <t>LVRT Target Voltage (pu): 0.15; Duration of voltage dip (sec): 0.3; Pre - fault Active Power dispatch (pu): 0.5; Nature of voltage dip: Unbalanced (L); Low Voltage Ride Through (LVRT); Unbalanced (L)</t>
  </si>
  <si>
    <t>TC_060_EMT_Results.pdf</t>
  </si>
  <si>
    <t xml:space="preserve">LVRT Target Voltage (pu): 0.85; Duration of voltage dip (sec): 3; Pre - fault Active Power dispatch (pu): 0.25; Nature of voltage dip: Balanced Three phase; </t>
  </si>
  <si>
    <t>LVRT Target Voltage (pu): 0.85; Duration of voltage dip (sec): 3; Pre - fault Active Power dispatch (pu): 0.25; Nature of voltage dip: Balanced Three phase; Low Voltage Ride Through (LVRT); Balanced Three phase</t>
  </si>
  <si>
    <t>TC_061_EMT_Results.pdf</t>
  </si>
  <si>
    <t>LVRT Target Voltage (pu): 0.5; Duration of voltage dip (sec): 1.65; Pre - fault Active Power dispatch (pu): 0.25; Nature of voltage dip: Balanced Three phase;</t>
  </si>
  <si>
    <t>LVRT Target Voltage (pu): 0.5; Duration of voltage dip (sec): 1.65; Pre - fault Active Power dispatch (pu): 0.25; Nature of voltage dip: Balanced Three phase; Low Voltage Ride Through (LVRT); Balanced Three phase</t>
  </si>
  <si>
    <t>TC_062_EMT_Results.pdf</t>
  </si>
  <si>
    <t xml:space="preserve">LVRT Target Voltage (pu): 0.15; Duration of voltage dip (sec): 0.3; Pre - fault Active Power dispatch (pu): 0.25; Nature of voltage dip: Balanced Three phase; </t>
  </si>
  <si>
    <t>LVRT Target Voltage (pu): 0.15; Duration of voltage dip (sec): 0.3; Pre - fault Active Power dispatch (pu): 0.25; Nature of voltage dip: Balanced Three phase; Low Voltage Ride Through (LVRT); Balanced Three phase</t>
  </si>
  <si>
    <t>TC_063_EMT_Results.pdf</t>
  </si>
  <si>
    <t xml:space="preserve">LVRT Target Voltage (pu): 0.85; Duration of voltage dip (sec): 3; Pre - fault Active Power dispatch (pu): 0.25; Nature of voltage dip: Unbalanced (LL); </t>
  </si>
  <si>
    <t>LVRT Target Voltage (pu): 0.85; Duration of voltage dip (sec): 3; Pre - fault Active Power dispatch (pu): 0.25; Nature of voltage dip: Unbalanced (LL); Low Voltage Ride Through (LVRT); Unbalanced (LL)</t>
  </si>
  <si>
    <t>TC_064_EMT_Results.pdf</t>
  </si>
  <si>
    <t xml:space="preserve">LVRT Target Voltage (pu): 0.5; Duration of voltage dip (sec): 1.65; Pre - fault Active Power dispatch (pu): 0.25; Nature of voltage dip: Unbalanced (LL); </t>
  </si>
  <si>
    <t>LVRT Target Voltage (pu): 0.5; Duration of voltage dip (sec): 1.65; Pre - fault Active Power dispatch (pu): 0.25; Nature of voltage dip: Unbalanced (LL); Low Voltage Ride Through (LVRT); Unbalanced (LL)</t>
  </si>
  <si>
    <t>TC_065_EMT_Results.pdf</t>
  </si>
  <si>
    <t xml:space="preserve">LVRT Target Voltage (pu): 0.15; Duration of voltage dip (sec): 0.3; Pre - fault Active Power dispatch (pu): 0.25; Nature of voltage dip: Unbalanced (LL); </t>
  </si>
  <si>
    <t>LVRT Target Voltage (pu): 0.15; Duration of voltage dip (sec): 0.3; Pre - fault Active Power dispatch (pu): 0.25; Nature of voltage dip: Unbalanced (LL); Low Voltage Ride Through (LVRT); Unbalanced (LL)</t>
  </si>
  <si>
    <t>TC_066_EMT_Results.pdf</t>
  </si>
  <si>
    <t xml:space="preserve">LVRT Target Voltage (pu): 0.85; Duration of voltage dip (sec): 3; Pre - fault Active Power dispatch (pu): 0.25; Nature of voltage dip: Unbalanced (L); </t>
  </si>
  <si>
    <t>LVRT Target Voltage (pu): 0.85; Duration of voltage dip (sec): 3; Pre - fault Active Power dispatch (pu): 0.25; Nature of voltage dip: Unbalanced (L); Low Voltage Ride Through (LVRT); Unbalanced (L)</t>
  </si>
  <si>
    <t>TC_067_EMT_Results.pdf</t>
  </si>
  <si>
    <t xml:space="preserve">LVRT Target Voltage (pu): 0.5; Duration of voltage dip (sec): 1.65; Pre - fault Active Power dispatch (pu): 0.25; Nature of voltage dip: Unbalanced (L); </t>
  </si>
  <si>
    <t>LVRT Target Voltage (pu): 0.5; Duration of voltage dip (sec): 1.65; Pre - fault Active Power dispatch (pu): 0.25; Nature of voltage dip: Unbalanced (L); Low Voltage Ride Through (LVRT); Unbalanced (L)</t>
  </si>
  <si>
    <t>TC_068_EMT_Results.pdf</t>
  </si>
  <si>
    <t xml:space="preserve">LVRT Target Voltage (pu): 0.15; Duration of voltage dip (sec): 0.3; Pre - fault Active Power dispatch (pu): 0.25; Nature of voltage dip: Unbalanced (L); </t>
  </si>
  <si>
    <t>LVRT Target Voltage (pu): 0.15; Duration of voltage dip (sec): 0.3; Pre - fault Active Power dispatch (pu): 0.25; Nature of voltage dip: Unbalanced (L); Low Voltage Ride Through (LVRT); Unbalanced (L)</t>
  </si>
  <si>
    <t>TC_069_EMT_Results.pdf</t>
  </si>
  <si>
    <t xml:space="preserve"> Active power set-point and Rate of change of active power</t>
  </si>
  <si>
    <t xml:space="preserve">Change in active power dispatch: Active power set-point and Ramp up test (ramp rate &lt; 10% per minute); POI/PCC Voltage (pu): 1; Power factor (pf): Unity; </t>
  </si>
  <si>
    <t>Change in active power dispatch: Active power set-point and Ramp up test (ramp rate &lt; 10% per minute); POI/PCC Voltage (pu): 1; Power factor (pf): Unity; Active power set-point and Rate of change of active power; Active power set-point and Ramp up test (ramp rate &lt; 10% per minute)</t>
  </si>
  <si>
    <t>TC_070_EMT_Results.pdf</t>
  </si>
  <si>
    <t>Ramp Rate / Active Power Set-point Test | Level: UIBR | Domain: EMT
▶ File Name (PDF): Attach simulation output showing ramp-up/ramp-down power response over time. Plot must show ramp rate (MW/min) and confirm it is ≤10% of rated per minute.
▶ File Name (Sim): Provide 'test.pscx' model file for this ramp test.
▶ Key check: Ramp rate ≤10% of rated MW per minute as required by CEA/Grid Code.</t>
  </si>
  <si>
    <t xml:space="preserve">Change in active power dispatch: Active power set-point and Ramp down test (ramp rate &lt; 10% per minute); POI/PCC Voltage (pu): 1; Power factor (pf): Unity; </t>
  </si>
  <si>
    <t>Change in active power dispatch: Active power set-point and Ramp down test (ramp rate &lt; 10% per minute); POI/PCC Voltage (pu): 1; Power factor (pf): Unity; Active power set-point and Rate of change of active power; Active power set-point and Ramp down test (ramp rate &lt; 10% per minute)</t>
  </si>
  <si>
    <t>TC_071_EMT_Results.pdf</t>
  </si>
  <si>
    <t xml:space="preserve">Frequency change (Hz): 50 to 50.15; Active Power dispatch (pu): 0.9-1.0; POI/PCC
Voltage (pu): 1; Power factor (pf): Unity; </t>
  </si>
  <si>
    <t>Frequency change (Hz): 50 to 50.15; Active Power dispatch (pu): 0.9-1.0; POI/PCC
Voltage (pu): 1; Power factor (pf): Unity; Frequency response test (any droop in range of 3 - 6%)</t>
  </si>
  <si>
    <t>TC_072_EMT_Results.pdf</t>
  </si>
  <si>
    <t xml:space="preserve">Frequency change (Hz): 50 to 50.15; Active Power dispatch (pu): 0.5; POI/PCC
Voltage (pu): 1; Power factor (pf): Unity; </t>
  </si>
  <si>
    <t>Frequency change (Hz): 50 to 50.15; Active Power dispatch (pu): 0.5; POI/PCC
Voltage (pu): 1; Power factor (pf): Unity; Frequency response test (any droop in range of 3 - 6%)</t>
  </si>
  <si>
    <t>TC_073_EMT_Results.pdf</t>
  </si>
  <si>
    <t xml:space="preserve">Frequency change (Hz): 50 to 50.15; Active Power dispatch (pu): 0.1; POI/PCC
Voltage (pu): 1; Power factor (pf): Unity; </t>
  </si>
  <si>
    <t>Frequency change (Hz): 50 to 50.15; Active Power dispatch (pu): 0.1; POI/PCC
Voltage (pu): 1; Power factor (pf): Unity; Frequency response test (any droop in range of 3 - 6%)</t>
  </si>
  <si>
    <t>TC_074_EMT_Results.pdf</t>
  </si>
  <si>
    <t xml:space="preserve">Frequency change (Hz): 50 to 49.85; Active Power dispatch (pu): 0.5; POI/PCC
Voltage (pu): 1; Power factor (pf): Unity; </t>
  </si>
  <si>
    <t>Frequency change (Hz): 50 to 49.85; Active Power dispatch (pu): 0.5; POI/PCC
Voltage (pu): 1; Power factor (pf): Unity; Frequency response test (any droop in range of 3 - 6%)</t>
  </si>
  <si>
    <t>TC_075_EMT_Results.pdf</t>
  </si>
  <si>
    <t xml:space="preserve">Frequency change (Hz): 50 to 49.85; Active Power dispatch (pu): 0.1; POI/PCC
Voltage (pu): 1; Power factor (pf): Unity; </t>
  </si>
  <si>
    <t>Frequency change (Hz): 50 to 49.85; Active Power dispatch (pu): 0.1; POI/PCC
Voltage (pu): 1; Power factor (pf): Unity; Frequency response test (any droop in range of 3 - 6%)</t>
  </si>
  <si>
    <t>TC_076_EMT_Results.pdf</t>
  </si>
  <si>
    <t xml:space="preserve"> Demonstration of immediate (within 1 second) real power primary frequency response of at least 10% of maximum Alternating Current active power capacity for frequency deviation in excess of 0.3 Hz:</t>
  </si>
  <si>
    <t>Change in frequency (Hz): Greater than 0.3Hz (upwards); Active Power dispatch (pu): 1; POI/PCC Voltage (pu): 1; Power factor (pf): Unity; Demonstration of immediate (within 1 second) real power primary frequency response of at least 10% of maximum Alternating Current active power capacity for frequency deviation in excess of 0.3 Hz:; Greater than 0.3Hz (upwards)</t>
  </si>
  <si>
    <t>TC_077_EMT_Results.pdf</t>
  </si>
  <si>
    <t>Change in frequency (Hz): Greater than 0.3Hz (downwards); Active Power dispatch (pu): 1; POI/PCC Voltage (pu): 1; Power factor (pf): Unity; Demonstration of immediate (within 1 second) real power primary frequency response of at least 10% of maximum Alternating Current active power capacity for frequency deviation in excess of 0.3 Hz:; Greater than 0.3Hz (downwards)</t>
  </si>
  <si>
    <t>TC_078_EMT_Results.pdf</t>
  </si>
  <si>
    <t>High Voltage Ride Through (HVRT)</t>
  </si>
  <si>
    <t>HVRT Target Voltage (pu): 1.3; Duration of voltage rise (sec): 0.2; Initial Active Power dispatch (pu): 1; Nature of voltage rise: Balanced Three phase; High Voltage Ride Through (HVRT); Balanced Three phase</t>
  </si>
  <si>
    <t>TC_079_EMT_Results.pdf</t>
  </si>
  <si>
    <t>HVRT Test | Level: UIBR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</si>
  <si>
    <t>HVRT Target Voltage (pu): 1.2; Duration of voltage rise (sec): 2; Initial Active Power dispatch (pu): 1; Nature of voltage rise: Balanced Three phase; High Voltage Ride Through (HVRT); Balanced Three phase</t>
  </si>
  <si>
    <t>TC_080_EMT_Results.pdf</t>
  </si>
  <si>
    <t>HVRT Target Voltage (pu): 1.3; Duration of voltage rise (sec): 0.2; Initial Active Power dispatch (pu): 1; Nature of voltage rise: Single phase; High Voltage Ride Through (HVRT); Single phase</t>
  </si>
  <si>
    <t>HVRT Target Voltage (pu): 1.2; Duration of voltage rise (sec): 2; Initial Active Power dispatch (pu): 1; Nature of voltage rise: Single phase; High Voltage Ride Through (HVRT); Single phase</t>
  </si>
  <si>
    <t>HVRT Target Voltage (pu): 1.3; Duration of voltage rise (sec): 0.2; Initial Active Power dispatch (pu): 0.5; Nature of voltage rise: Balanced Three phase; High Voltage Ride Through (HVRT); Balanced Three phase</t>
  </si>
  <si>
    <t>HVRT Target Voltage (pu): 1.2; Duration of voltage rise (sec): 2; Initial Active Power dispatch (pu): 0.5; Nature of voltage rise: Balanced Three phase; High Voltage Ride Through (HVRT); Balanced Three phase</t>
  </si>
  <si>
    <t>HVRT Target Voltage (pu): 1.3; Duration of voltage rise (sec): 0.2; Initial Active Power dispatch (pu): 0.5; Nature of voltage rise: Single phase; High Voltage Ride Through (HVRT); Single phase</t>
  </si>
  <si>
    <t>HVRT Target Voltage (pu): 1.2; Duration of voltage rise (sec): 2; Initial Active Power dispatch (pu): 0.5; Nature of voltage rise: Single phase; High Voltage Ride Through (HVRT); Single phase</t>
  </si>
  <si>
    <t>HVRT Target Voltage (pu): 1.3; Duration of voltage rise (sec): 0.2; Initial Active Power dispatch (pu): 0.25; Nature of voltage rise: Balanced Three phase; High Voltage Ride Through (HVRT); Balanced Three phase</t>
  </si>
  <si>
    <t>HVRT Target Voltage (pu): 1.2; Duration of voltage rise (sec): 2; Initial Active Power dispatch (pu): 0.25; Nature of voltage rise: Balanced Three phase; High Voltage Ride Through (HVRT); Balanced Three phase</t>
  </si>
  <si>
    <t>HVRT Target Voltage (pu): 1.3; Duration of voltage rise (sec): 0.2; Initial Active Power dispatch (pu): 0.25; Nature of voltage rise: Single phase; High Voltage Ride Through (HVRT); Single phase</t>
  </si>
  <si>
    <t>HVRT Target Voltage (pu): 1.2; Duration of voltage rise (sec): 2; Initial Active Power dispatch (pu): 0.25; Nature of voltage rise: Single phase; High Voltage Ride Through (HVRT); Single phase</t>
  </si>
  <si>
    <t>USVG</t>
  </si>
  <si>
    <t>LVRT Target Voltage (pu): 0.85; 
Duration of voltage dip (sec): 3;
Pre-fault Reactive Power dispatch: Max. absorption;</t>
  </si>
  <si>
    <t>LVRT Target Voltage (pu): 0.85; Duration of voltage dip (sec): 3; Pre-fault Reactive Power dispatch: Max. absorption; Low voltage ride through</t>
  </si>
  <si>
    <t>LVRT Test | Level: USVG | Domain: RMS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'test.sav'. For PSS/E: .SAV + .DYR file; for PSCAD: .pscx/.pswx file. File should reproduce the exact test case documented in the report.
▶ Key checks: No inverter tripping, ΔIq &gt; 0 during fault, active power recovers ≥90% within 1 sec of clearance.</t>
  </si>
  <si>
    <t>LVRT Target Voltage (pu): 0.5; 
Duration of voltage dip (sec): 1.65; 
Pre-fault Reactive Power dispatch: Max. absorption;</t>
  </si>
  <si>
    <t>LVRT Target Voltage (pu): 0.5; Duration of voltage dip (sec): 1.65; Pre-fault Reactive Power dispatch: Max. absorption; Low voltage ride through</t>
  </si>
  <si>
    <t>LVRT Target Voltage (pu): 0.15; 
Duration of voltage dip (sec): 0.3; 
Pre-fault Reactive Power dispatch: Max. absorption;</t>
  </si>
  <si>
    <t>LVRT Target Voltage (pu): 0.15; Duration of voltage dip (sec): 0.3; Pre-fault Reactive Power dispatch: Max. absorption; Low voltage ride through</t>
  </si>
  <si>
    <t xml:space="preserve"> High voltage ride through</t>
  </si>
  <si>
    <t>HVRT Target Voltage (pu): 1.3; 
Duration of voltage dip (sec): 0.2; 
Initial Reactive Power dispatch: Max. injection;</t>
  </si>
  <si>
    <t>HVRT Target Voltage (pu): 1.3; Duration of voltage dip (sec): 0.2; Initial Reactive Power dispatch: Max. injection; High voltage ride through</t>
  </si>
  <si>
    <t>HVRT Test | Level: USVG | Domain: RMS
▶ File Name (PDF): Attach simulation output showing voltage, P, Q, Id, Iq time plots for this HVRT case. Verify inverter absorbs reactive power (negative ΔIq) during voltage rise. Format: 'TC_&lt;NNN&gt;_&lt;RMS/EMT&gt;_Results.pdf'.
▶ File Name (Sim): Provide 'test.sav' model file replicating this exact HVRT scenario.
▶ Key checks: No tripping, reactive absorption as per K-factor, active power maintained.</t>
  </si>
  <si>
    <t>HVRT Target Voltage (pu): 1.2; 
Duration of voltage dip (sec): 2; 
Initial Reactive Power dispatch: Max. injection;</t>
  </si>
  <si>
    <t>HVRT Target Voltage (pu): 1.2; Duration of voltage dip (sec): 2; High voltage ride through</t>
  </si>
  <si>
    <t>Demonstration of ± Q capability</t>
  </si>
  <si>
    <t>Upto full capacitive range</t>
  </si>
  <si>
    <t>HVRT Target Voltage (pu): Upto full capacitive range; Upto full capacitive range</t>
  </si>
  <si>
    <t>Reactive Power Capability Test | Level: USVG | Domain: RMS
▶ File Name (PDF): Attach simulation results showing maximum capacitive and inductive reactive power at specified POI voltage. Supplemental devices (SVG/STATCOM) must be modelled as 'In Service' or 'Out of Service' per test parameters.
▶ File Name (Sim): Provide 'test.sav' model file with supplemental device status as specified.
▶ Key check: Plant must demonstrate full ±Q range per PQ capability curve.</t>
  </si>
  <si>
    <t>Upto full inductive range</t>
  </si>
  <si>
    <t>HVRT Target Voltage (pu): Upto full inductive range; Upto full inductive range</t>
  </si>
  <si>
    <t xml:space="preserve">LVRT Target Voltage (pu): 0.85; 
Duration of voltage dip (sec): 3; 
Pre-fault Reactive Power dispatch (pu): Max. absorption mode; 
Nature of voltage dip: Balanced Three phase; </t>
  </si>
  <si>
    <t>LVRT Target Voltage (pu): 0.85; Duration of voltage dip (sec): 3; Pre-fault Reactive Power dispatch (pu): Max. absorption mode; Nature of voltage dip: Balanced Three phase; Low voltage ride through; Balanced Three phase</t>
  </si>
  <si>
    <t>LVRT Test | Level: USVG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</si>
  <si>
    <t xml:space="preserve">LVRT Target Voltage (pu): 0.5; 
Duration of voltage dip (sec): 1.65; Pre-fault Reactive Power dispatch (pu): Max. absorption mode; Nature of voltage dip: Balanced Three phase; </t>
  </si>
  <si>
    <t>LVRT Target Voltage (pu): 0.5; Duration of voltage dip (sec): 1.65; Pre-fault Reactive Power dispatch (pu): Max. absorption mode; Nature of voltage dip: Balanced Three phase; Low voltage ride through; Balanced Three phase</t>
  </si>
  <si>
    <t xml:space="preserve">LVRT Target Voltage (pu): 0.15; Duration of voltage dip (sec): 0.3; Pre-fault Reactive Power dispatch (pu): Max. absorption mode; Nature of voltage dip: Balanced Three phase; </t>
  </si>
  <si>
    <t>LVRT Target Voltage (pu): 0.15; Duration of voltage dip (sec): 0.3; Pre-fault Reactive Power dispatch (pu): Max. absorption mode; Nature of voltage dip: Balanced Three phase; Low voltage ride through; Balanced Three phase</t>
  </si>
  <si>
    <t>LVRT Target Voltage (pu): 0.85; Duration of voltage dip (sec): 3; Pre-fault Reactive Power dispatch (pu): Max. absorption mode; Nature of voltage dip: Unbalanced (LL);</t>
  </si>
  <si>
    <t>LVRT Target Voltage (pu): 0.85; Duration of voltage dip (sec): 3; Pre-fault Reactive Power dispatch (pu): Max. absorption mode; Nature of voltage dip: Unbalanced (LL); Low voltage ride through; Unbalanced (LL)</t>
  </si>
  <si>
    <t xml:space="preserve">LVRT Target Voltage (pu): 0.5; Duration of voltage dip (sec): 1.65; Pre-fault Reactive Power dispatch (pu): Max. absorption mode; Nature of voltage dip: Unbalanced (LL); </t>
  </si>
  <si>
    <t>LVRT Target Voltage (pu): 0.5; Duration of voltage dip (sec): 1.65; Pre-fault Reactive Power dispatch (pu): Max. absorption mode; Nature of voltage dip: Unbalanced (LL); Low voltage ride through; Unbalanced (LL)</t>
  </si>
  <si>
    <t xml:space="preserve">LVRT Target Voltage (pu): 0.15; Duration of voltage dip (sec): 0.3; Pre-fault Reactive Power dispatch (pu): Max. absorption mode; Nature of voltage dip: Unbalanced (LL); </t>
  </si>
  <si>
    <t>LVRT Target Voltage (pu): 0.15; Duration of voltage dip (sec): 0.3; Pre-fault Reactive Power dispatch (pu): Max. absorption mode; Nature of voltage dip: Unbalanced (LL); Low voltage ride through; Unbalanced (LL)</t>
  </si>
  <si>
    <t xml:space="preserve">HVRT Target Voltage (pu): 1.3; Duration of voltage dip (sec): 0.2; Initial Reactive Power dispatch (pu): Max. injection mode; Nature of voltage dip: Balanced Three phase; </t>
  </si>
  <si>
    <t>HVRT Target Voltage (pu): 1.3; Duration of voltage dip (sec): 0.2; Initial Reactive Power dispatch (pu): Max. injection mode; Nature of voltage dip: Balanced Three phase; High voltage ride through; Balanced Three phase</t>
  </si>
  <si>
    <t>HVRT Test | Level: USVG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</si>
  <si>
    <t xml:space="preserve">HVRT Target Voltage (pu): 1.2; Duration of voltage dip (sec): 2; Initial Reactive Power dispatch (pu): Max. injection mode; Nature of voltage dip: Balanced Three phase; </t>
  </si>
  <si>
    <t>HVRT Target Voltage (pu): 1.2; Duration of voltage dip (sec): 2; Initial Reactive Power dispatch (pu): Max. injection mode; Nature of voltage dip: Balanced Three phase; High voltage ride through; Balanced Three phase</t>
  </si>
  <si>
    <t xml:space="preserve">HVRT Target Voltage (pu): 1.3; Duration of voltage dip (sec): 0.2; Initial Reactive Power dispatch (pu): Max. injection mode; Nature of voltage dip: Single phase; </t>
  </si>
  <si>
    <t>HVRT Target Voltage (pu): 1.3; Duration of voltage dip (sec): 0.2; Initial Reactive Power dispatch (pu): Max. injection mode; Nature of voltage dip: Single phase; High voltage ride through; Single phase</t>
  </si>
  <si>
    <t xml:space="preserve">HVRT Target Voltage (pu): 1.2; Duration of voltage dip (sec): 2; Initial Reactive Power dispatch (pu): Max. injection mode; Nature of voltage dip: Single phase; </t>
  </si>
  <si>
    <t>HVRT Target Voltage (pu): 1.2; Duration of voltage dip (sec): 2; Initial Reactive Power dispatch (pu): Max. injection mode; Nature of voltage dip: Single phase; High voltage ride through; Single phase</t>
  </si>
  <si>
    <t xml:space="preserve"> Demonstration of ± Q capability</t>
  </si>
  <si>
    <t>Reactive Power Capability Test | Level: USVG | Domain: EMT
▶ File Name (PDF): Attach simulation results showing maximum capacitive and inductive reactive power at specified POI voltage. Supplemental devices (SVG/STATCOM) must be modelled as 'In Service' or 'Out of Service' per test parameters.
▶ File Name (Sim): Provide 'test.pscx' model file with supplemental device status as specified.
▶ Key check: Plant must demonstrate full ±Q range per PQ capability curve.</t>
  </si>
  <si>
    <t>PEMT</t>
  </si>
  <si>
    <t xml:space="preserve">Power Quality </t>
  </si>
  <si>
    <t>Evaluation of current harmonics at POI (Harmonic Load Flow model)</t>
  </si>
  <si>
    <t xml:space="preserve">P=1.0; </t>
  </si>
  <si>
    <t>HVRT Target Voltage (pu): P=1.0; Evaluation of current harmonics at POI (Harmonic Load Flow model); P=1.0</t>
  </si>
  <si>
    <t>Power Quality / Harmonic Test | Level: PEMT | Domain: EMT
▶ File Name (PDF): Attach harmonic load flow results showing current harmonic spectrum at POI for each active power level. Verify TDD ≤1.5% and band limits per CEA connectivity standards.
▶ File Name (Sim): Provide 'test.pscx' PSCAD model file including harmonic injection sources.
▶ Key check: All harmonic distortion values must be within CEA Connectivity Standard limits.</t>
  </si>
  <si>
    <t>P=0.9;</t>
  </si>
  <si>
    <t>HVRT Target Voltage (pu): P=0.9; Evaluation of current harmonics at POI (Harmonic Load Flow model); P=0.9</t>
  </si>
  <si>
    <t>P=0.8;</t>
  </si>
  <si>
    <t>HVRT Target Voltage (pu): P=0.8; Evaluation of current harmonics at POI (Harmonic Load Flow model); P=0.8</t>
  </si>
  <si>
    <t>P=0.7;</t>
  </si>
  <si>
    <t>HVRT Target Voltage (pu): P=0.7; Evaluation of current harmonics at POI (Harmonic Load Flow model); P=0.7</t>
  </si>
  <si>
    <t>P=0.6;</t>
  </si>
  <si>
    <t>HVRT Target Voltage (pu): P=0.6; Evaluation of current harmonics at POI (Harmonic Load Flow model); P=0.6</t>
  </si>
  <si>
    <t>P=0.5;</t>
  </si>
  <si>
    <t>HVRT Target Voltage (pu): P=0.5; Evaluation of current harmonics at POI (Harmonic Load Flow model); P=0.5</t>
  </si>
  <si>
    <t>P=0.4;</t>
  </si>
  <si>
    <t>HVRT Target Voltage (pu): P=0.4; Evaluation of current harmonics at POI (Harmonic Load Flow model); P=0.4</t>
  </si>
  <si>
    <t>P=0.3;</t>
  </si>
  <si>
    <t>HVRT Target Voltage (pu): P=0.3; Evaluation of current harmonics at POI (Harmonic Load Flow model); P=0.3</t>
  </si>
  <si>
    <t>P=0.2;</t>
  </si>
  <si>
    <t>HVRT Target Voltage (pu): P=0.2; Evaluation of current harmonics at POI (Harmonic Load Flow model); P=0.2</t>
  </si>
  <si>
    <t>P=0.1;</t>
  </si>
  <si>
    <t>HVRT Target Voltage (pu): P=0.1; Evaluation of current harmonics at POI (Harmonic Load Flow model); P=0.1</t>
  </si>
  <si>
    <t xml:space="preserve"> DC Current injection at POI</t>
  </si>
  <si>
    <t>P=1.0; Q=0</t>
  </si>
  <si>
    <t>HVRT Target Voltage (pu): P=1.0; Q=0; DC Current injection at POI; P=1.0; Q=0</t>
  </si>
  <si>
    <t>Flicker study at POI (Pst &amp; Plt)</t>
  </si>
  <si>
    <t>HVRT Target Voltage (pu): P=1.0; Q=0; Flicker study at POI (Pst &amp; Plt); P=1.0; Q=0</t>
  </si>
  <si>
    <t xml:space="preserve"> Reactive power capability test</t>
  </si>
  <si>
    <t>POI Voltage(pu): 0.95;
Supplemental device(if any) : In Service</t>
  </si>
  <si>
    <t>HVRT Target Voltage (pu): 0.95; Duration of voltage dip (sec): In service; Reactive power capability test</t>
  </si>
  <si>
    <t>Reactive Power Capability Test | Level: PEMT | Domain: EMT
▶ File Name (PDF): Attach simulation results showing maximum capacitive and inductive reactive power at specified POI voltage. Supplemental devices (SVG/STATCOM) must be modelled as 'In Service' or 'Out of Service' per test parameters.
▶ File Name (Sim): Provide 'test.pscx' model file with supplemental device status as specified.
▶ Key check: Plant must demonstrate full ±Q range per PQ capability curve.</t>
  </si>
  <si>
    <t>POI Voltage(pu): 1.05;
Supplemental device(if any) : In Service</t>
  </si>
  <si>
    <t>HVRT Target Voltage (pu): 1.05; Duration of voltage dip (sec): In service; Reactive power capability test</t>
  </si>
  <si>
    <t>POI Voltage(pu): 0.95;
Supplemental device(if any) : Out of Service</t>
  </si>
  <si>
    <t>HVRT Target Voltage (pu): 0.95; Duration of voltage dip (sec): Out of service; Reactive power capability test</t>
  </si>
  <si>
    <t>POI Voltage(pu): 1.05;
Supplemental device(if any) :Out of Service</t>
  </si>
  <si>
    <t>HVRT Target Voltage (pu): 1.05; Duration of voltage dip (sec): Out of service; Reactive power capability test</t>
  </si>
  <si>
    <t>Frequency change (Hz): 50 to 47.5; 
Active Power dispatch (pu): P=1.0; 
POI Voltage (pu): 1; 
Power factor (pf): Any; 
PPC Frequency Flag = Off</t>
  </si>
  <si>
    <t>Frequency change (Hz): 50 to 47.5; Active Power dispatch (pu): P=1.0; POI Voltage (pu): 1; Power factor (pf): Any; Capability to operate in frequency range: 47.5Hz to 52Hz with +/-5% voltage variation; P=1.0</t>
  </si>
  <si>
    <t>Frequency Response Test | Level: PEMT | Domain: EMT
▶ File Name (PDF): Attach simulation output showing frequency step and corresponding active power response. Include time plots for frequency (Hz) and P (pu). Droop response must be visible within the configured dead-band.
▶ File Name (Sim): Provide 'test.pscx' model file configured with PPC frequency flag ON for this test.
▶ Key check: Droop must be in range 3%–6%; FFR tests require ≥10% P response within 1 second for |Δf| &gt; 0.3 Hz.</t>
  </si>
  <si>
    <t>Frequency change (Hz): 47.5Hz to 52Hz; 
Active Power dispatch (pu): P=1.0; 
POI Voltage (pu): 1; 
Power factor (pf): Any; 
PPC Frequency Flag = Off</t>
  </si>
  <si>
    <t>Frequency change (Hz): 50 to 52; Active Power dispatch (pu): P=1.0; POI Voltage (pu): 1; Power factor (pf): Any; Capability to operate in frequency range: 47.5Hz to 52Hz with +/-5% voltage variation; P=1.0</t>
  </si>
  <si>
    <t>Frequency change (Hz): 50 to 49.50; 
POI Voltage (pu): 0.95; 
Power factor (pf): 0.95 lagging; 
Active Power dispatch (pu): 1; 
PPC Frequency Flag: Off</t>
  </si>
  <si>
    <t>Frequency change (Hz): 50 to 49.50; POI Voltage (pu): 0.95; Power factor (pf): 0.95 lagging; Active Power dispatch (pu): 1; Capability to provide rated output in frequency range of 49.5Hz to 50.5Hz with +/-5% voltage variation; 0.95 lagging</t>
  </si>
  <si>
    <t>Frequency change (Hz): 50 to 49.50; 
POI Voltage (pu): 1.05; 
Power factor (pf): 0.95 leading; 
Active Power dispatch (pu): 1; 
PPC Frequency Flag: Off</t>
  </si>
  <si>
    <t>POI Voltage (pu): 1.05; Power factor (pf): 0.95 leading; 0.95 leading</t>
  </si>
  <si>
    <t>Frequency change (Hz): 50 to 50.50; 
POI Voltage (pu): 0.95; 
Power factor (pf): 0.95 lagging; 
Active Power dispatch (pu): 1; 
PPC Frequency Flag: Off</t>
  </si>
  <si>
    <t>Frequency change (Hz): 50 to 50.50; POI Voltage (pu): 0.95; Power factor (pf): 0.95 lagging; 0.95 lagging</t>
  </si>
  <si>
    <t>Frequency change (Hz): 50 to 50.50; 
POI Voltage (pu): 1.05; 
Power factor (pf): 0.95 leading; 
Active Power dispatch (pu): 1; 
PPC Frequency Flag: Off</t>
  </si>
  <si>
    <t xml:space="preserve">LVRT Target Voltage (pu): 0.85; 
Duration of voltage dip (sec): 3; Pre-fault Active Power dispatch (pu): 1; Nature of voltage dip: Balanced Three phase; </t>
  </si>
  <si>
    <t>LVRT Target Voltage (pu): 0.85; Duration of voltage dip (sec): 3; Pre-fault Active Power dispatch (pu): 1; Nature of voltage dip: Balanced Three phase; Low voltage ride through; Balanced Three phase</t>
  </si>
  <si>
    <t>LVRT Test | Level: PEMT | Domain: EMT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'test.pscx'. For PSS/E: .SAV + .DYR file; for PSCAD: .pscx/.pswx file. File should reproduce the exact test case documented in the report.
▶ Key checks: No inverter tripping, ΔIq &gt; 0 during fault, active power recovers ≥90% within 1 sec of clearance.</t>
  </si>
  <si>
    <t xml:space="preserve">LVRT Target Voltage (pu): 0.5; 
Duration of voltage dip (sec): 1.65; 
Pre-fault Active Power dispatch (pu): 1; 
Nature of voltage dip: Balanced Three phase; </t>
  </si>
  <si>
    <t>LVRT Target Voltage (pu): 0.5; Duration of voltage dip (sec): 1.65; Pre-fault Active Power dispatch (pu): 1; Nature of voltage dip: Balanced Three phase; Low voltage ride through; Balanced Three phase</t>
  </si>
  <si>
    <t xml:space="preserve">LVRT Target Voltage (pu): 0.15; 
Duration of voltage dip (sec): 0.3; Pre-fault Active Power dispatch (pu): 1; Nature of voltage dip: Balanced Three phase; </t>
  </si>
  <si>
    <t>LVRT Target Voltage (pu): 0.15; Duration of voltage dip (sec): 0.3; Pre-fault Active Power dispatch (pu): 1; Nature of voltage dip: Balanced Three phase; Low voltage ride through; Balanced Three phase</t>
  </si>
  <si>
    <t xml:space="preserve">LVRT Target Voltage (pu): 0.85; Duration of voltage dip (sec): 3; Pre-fault Active Power dispatch (pu): 1; Nature of voltage dip: Unbalanced(LL); </t>
  </si>
  <si>
    <t>LVRT Target Voltage (pu): 0.85; Duration of voltage dip (sec): 3; Pre-fault Active Power dispatch (pu): 1; Nature of voltage dip: Unbalanced(LL); Low voltage ride through; Unbalanced(LL)</t>
  </si>
  <si>
    <t>LVRT Target Voltage (pu): 0.5; Duration of voltage dip (sec): 1.65; Pre-fault Active Power dispatch (pu): 1; Nature of voltage dip: Unbalanced(LL);</t>
  </si>
  <si>
    <t>LVRT Target Voltage (pu): 0.5; Duration of voltage dip (sec): 1.65; Pre-fault Active Power dispatch (pu): 1; Nature of voltage dip: Unbalanced(LL); Low voltage ride through; Unbalanced(LL)</t>
  </si>
  <si>
    <t xml:space="preserve">LVRT Target Voltage (pu): 0.15; Duration of voltage dip (sec): 0.3; Pre-fault Active Power dispatch (pu): 1; Nature of voltage dip: Unbalanced(LL); </t>
  </si>
  <si>
    <t>LVRT Target Voltage (pu): 0.15; Duration of voltage dip (sec): 0.3; Pre-fault Active Power dispatch (pu): 1; Nature of voltage dip: Unbalanced(LL); Low voltage ride through; Unbalanced(LL)</t>
  </si>
  <si>
    <t xml:space="preserve">LVRT Target Voltage (pu): 0.85; Duration of voltage dip (sec): 3; Pre-fault Active Power dispatch (pu): 1; Nature of voltage dip: Unbalanced(LG); </t>
  </si>
  <si>
    <t>LVRT Target Voltage (pu): 0.85; Duration of voltage dip (sec): 3; Pre-fault Active Power dispatch (pu): 1; Nature of voltage dip: Unbalanced(LG); Low voltage ride through; Unbalanced(LG)</t>
  </si>
  <si>
    <t xml:space="preserve">LVRT Target Voltage (pu): 0.5; Duration of voltage dip (sec): 1.65; Pre-fault Active Power dispatch (pu): 1; Nature of voltage dip: Unbalanced(LG); </t>
  </si>
  <si>
    <t>LVRT Target Voltage (pu): 0.5; Duration of voltage dip (sec): 1.65; Pre-fault Active Power dispatch (pu): 1; Nature of voltage dip: Unbalanced(LG); Low voltage ride through; Unbalanced(LG)</t>
  </si>
  <si>
    <t xml:space="preserve">LVRT Target Voltage (pu): 0.15; Duration of voltage dip (sec): 0.3; Pre-fault Active Power dispatch (pu): 1; Nature of voltage dip: Unbalanced(LG); </t>
  </si>
  <si>
    <t>LVRT Target Voltage (pu): 0.15; Duration of voltage dip (sec): 0.3; Pre-fault Active Power dispatch (pu): 1; Nature of voltage dip: Unbalanced(LG); Low voltage ride through; Unbalanced(LG)</t>
  </si>
  <si>
    <t xml:space="preserve">LVRT Target Voltage (pu): 0.85; Duration of voltage dip (sec): 3; Pre-fault Active Power dispatch (pu): 0.5; Nature of voltage dip: Balanced Three phase; </t>
  </si>
  <si>
    <t>LVRT Target Voltage (pu): 0.85; Duration of voltage dip (sec): 3; Pre-fault Active Power dispatch (pu): 0.5; Nature of voltage dip: Balanced Three phase; Low voltage ride through; Balanced Three phase</t>
  </si>
  <si>
    <t>LVRT Target Voltage (pu): 0.5; Duration of voltage dip (sec): 1.65; Pre-fault Active Power dispatch (pu): 0.5; Nature of voltage dip: Balanced Three phase; Low voltage ride through; Balanced Three phase</t>
  </si>
  <si>
    <t xml:space="preserve">LVRT Target Voltage (pu): 0.15; Duration of voltage dip (sec): 0.3; Pre-fault Active Power dispatch (pu): 0.5; Nature of voltage dip: Balanced Three phase; </t>
  </si>
  <si>
    <t>LVRT Target Voltage (pu): 0.15; Duration of voltage dip (sec): 0.3; Pre-fault Active Power dispatch (pu): 0.5; Nature of voltage dip: Balanced Three phase; Low voltage ride through; Balanced Three phase</t>
  </si>
  <si>
    <t xml:space="preserve">LVRT Target Voltage (pu): 0.85; Duration of voltage dip (sec): 3; Pre-fault Active Power dispatch (pu): 0.5; Nature of voltage dip: Unbalanced(LL); </t>
  </si>
  <si>
    <t>LVRT Target Voltage (pu): 0.85; Duration of voltage dip (sec): 3; Pre-fault Active Power dispatch (pu): 0.5; Nature of voltage dip: Unbalanced(LL); Low voltage ride through; Unbalanced(LL)</t>
  </si>
  <si>
    <t xml:space="preserve">LVRT Target Voltage (pu): 0.5; Duration of voltage dip (sec): 1.65; Pre-fault Active Power dispatch (pu): 0.5; Nature of voltage dip: Unbalanced(LL); </t>
  </si>
  <si>
    <t>LVRT Target Voltage (pu): 0.5; Duration of voltage dip (sec): 1.65; Pre-fault Active Power dispatch (pu): 0.5; Nature of voltage dip: Unbalanced(LL); Low voltage ride through; Unbalanced(LL)</t>
  </si>
  <si>
    <t>LVRT Target Voltage (pu): 0.15; Duration of voltage dip (sec): 0.3; Pre-fault Active Power dispatch (pu): 0.5; Nature of voltage dip: Unbalanced(LL);</t>
  </si>
  <si>
    <t>LVRT Target Voltage (pu): 0.15; Duration of voltage dip (sec): 0.3; Pre-fault Active Power dispatch (pu): 0.5; Nature of voltage dip: Unbalanced(LL); Low voltage ride through; Unbalanced(LL)</t>
  </si>
  <si>
    <t xml:space="preserve">LVRT Target Voltage (pu): 0.85; Duration of voltage dip (sec): 3; Pre-fault Active Power dispatch (pu): 0.5; Nature of voltage dip: Unbalanced(LG); </t>
  </si>
  <si>
    <t>LVRT Target Voltage (pu): 0.85; Duration of voltage dip (sec): 3; Pre-fault Active Power dispatch (pu): 0.5; Nature of voltage dip: Unbalanced(LG); Low voltage ride through; Unbalanced(LG)</t>
  </si>
  <si>
    <t>LVRT Target Voltage (pu): 0.5; Duration of voltage dip (sec): 1.65; Pre-fault Active Power dispatch (pu): 0.5; Nature of voltage dip: Unbalanced(LG);</t>
  </si>
  <si>
    <t>LVRT Target Voltage (pu): 0.5; Duration of voltage dip (sec): 1.65; Pre-fault Active Power dispatch (pu): 0.5; Nature of voltage dip: Unbalanced(LG); Low voltage ride through; Unbalanced(LG)</t>
  </si>
  <si>
    <t xml:space="preserve">LVRT Target Voltage (pu): 0.15; Duration of voltage dip (sec): 0.3; Pre-fault Active Power dispatch (pu): 0.5; Nature of voltage dip: Unbalanced(LG); </t>
  </si>
  <si>
    <t>LVRT Target Voltage (pu): 0.15; Duration of voltage dip (sec): 0.3; Pre-fault Active Power dispatch (pu): 0.5; Nature of voltage dip: Unbalanced(LG); Low voltage ride through; Unbalanced(LG)</t>
  </si>
  <si>
    <t>LVRT Target Voltage (pu): 0.85; Duration of voltage dip (sec): 3; Pre-fault Active Power dispatch (pu): 0.25; Nature of voltage dip: Balanced Three phase;</t>
  </si>
  <si>
    <t>LVRT Target Voltage (pu): 0.85; Duration of voltage dip (sec): 3; Pre-fault Active Power dispatch (pu): 0.25; Nature of voltage dip: Balanced Three phase; Low voltage ride through; Balanced Three phase</t>
  </si>
  <si>
    <t>LVRT Target Voltage (pu): 0.5; Duration of voltage dip (sec): 1.65; Pre-fault Active Power dispatch (pu): 0.25; Nature of voltage dip: Balanced Three phase;</t>
  </si>
  <si>
    <t>LVRT Target Voltage (pu): 0.5; Duration of voltage dip (sec): 1.65; Pre-fault Active Power dispatch (pu): 0.25; Nature of voltage dip: Balanced Three phase; Low voltage ride through; Balanced Three phase</t>
  </si>
  <si>
    <t xml:space="preserve">LVRT Target Voltage (pu): 0.15; Duration of voltage dip (sec): 0.3; Pre-fault Active Power dispatch (pu): 0.25; Nature of voltage dip: Balanced Three phase; </t>
  </si>
  <si>
    <t>LVRT Target Voltage (pu): 0.15; Duration of voltage dip (sec): 0.3; Pre-fault Active Power dispatch (pu): 0.25; Nature of voltage dip: Balanced Three phase; Low voltage ride through; Balanced Three phase</t>
  </si>
  <si>
    <t xml:space="preserve">LVRT Target Voltage (pu): 0.85; Duration of voltage dip (sec): 3; Pre-fault Active Power dispatch (pu): 0.25; Nature of voltage dip: Unbalanced(LL); </t>
  </si>
  <si>
    <t>LVRT Target Voltage (pu): 0.85; Duration of voltage dip (sec): 3; Pre-fault Active Power dispatch (pu): 0.25; Nature of voltage dip: Unbalanced(LL); Low voltage ride through; Unbalanced(LL)</t>
  </si>
  <si>
    <t xml:space="preserve">LVRT Target Voltage (pu): 0.5; Duration of voltage dip (sec): 1.65; Pre-fault Active Power dispatch (pu): 0.25; Nature of voltage dip: Unbalanced(LL); </t>
  </si>
  <si>
    <t>LVRT Target Voltage (pu): 0.5; Duration of voltage dip (sec): 1.65; Pre-fault Active Power dispatch (pu): 0.25; Nature of voltage dip: Unbalanced(LL); Low voltage ride through; Unbalanced(LL)</t>
  </si>
  <si>
    <t>LVRT Target Voltage (pu): 0.15; Duration of voltage dip (sec): 0.3; Pre-fault Active Power dispatch (pu): 0.25; Nature of voltage dip: Unbalanced(LL); Low voltage ride through; Unbalanced(LL)</t>
  </si>
  <si>
    <t xml:space="preserve">LVRT Target Voltage (pu): 0.85; Duration of voltage dip (sec): 3; Pre-fault Active Power dispatch (pu): 0.25; Nature of voltage dip: Unbalanced(LG); </t>
  </si>
  <si>
    <t>LVRT Target Voltage (pu): 0.85; Duration of voltage dip (sec): 3; Pre-fault Active Power dispatch (pu): 0.25; Nature of voltage dip: Unbalanced(LG); Low voltage ride through; Unbalanced(LG)</t>
  </si>
  <si>
    <t xml:space="preserve">LVRT Target Voltage (pu): 0.5; Duration of voltage dip (sec): 1.65; Pre-fault Active Power dispatch (pu): 0.25; Nature of voltage dip: Unbalanced(LG); </t>
  </si>
  <si>
    <t>LVRT Target Voltage (pu): 0.5; Duration of voltage dip (sec): 1.65; Pre-fault Active Power dispatch (pu): 0.25; Nature of voltage dip: Unbalanced(LG); Low voltage ride through; Unbalanced(LG)</t>
  </si>
  <si>
    <t xml:space="preserve">LVRT Target Voltage (pu): 0.15; Duration of voltage dip (sec): 0.3; Pre-fault Active Power dispatch (pu): 0.25; Nature of voltage dip: Unbalanced(LG); </t>
  </si>
  <si>
    <t>LVRT Target Voltage (pu): 0.15; Duration of voltage dip (sec): 0.3; Pre-fault Active Power dispatch (pu): 0.25; Nature of voltage dip: Unbalanced(LG); Low voltage ride through; Unbalanced(LG)</t>
  </si>
  <si>
    <t xml:space="preserve"> Rate of change of active power:</t>
  </si>
  <si>
    <t xml:space="preserve">Change in active power dispatch: Active power set-point and Ramp up test (ramp rate &lt; 10% per minute); POI Voltage (pu): 1; Power factor (pf): Unity; </t>
  </si>
  <si>
    <t>Change in active power dispatch: Active power set-point and Ramp up test (ramp rate &lt; 10% per minute); POI Voltage (pu): 1; Power factor (pf): Unity; Rate of change of active power:; Active power set-point and Ramp up test (ramp rate &lt; 10% per minute)</t>
  </si>
  <si>
    <t>Ramp Rate / Active Power Set-point Test | Level: PEMT | Domain: EMT
▶ File Name (PDF): Attach simulation output showing ramp-up/ramp-down power response over time. Plot must show ramp rate (MW/min) and confirm it is ≤10% of rated per minute.
▶ File Name (Sim): Provide 'test.pscx' model file for this ramp test.
▶ Key check: Ramp rate ≤10% of rated MW per minute as required by CEA/Grid Code.</t>
  </si>
  <si>
    <t xml:space="preserve">Change in active power dispatch: Active power set-point and Ramp down test (ramp rate &lt; 10% per minute); POI Voltage (pu): 1; Power factor (pf): Unity; </t>
  </si>
  <si>
    <t>Change in active power dispatch: Active power set-point and Ramp down test (ramp rate &lt; 10% per minute); POI Voltage (pu): 1; Power factor (pf): Unity; Rate of change of active power:; Active power set-point and Ramp down test (ramp rate &lt; 10% per minute)</t>
  </si>
  <si>
    <t xml:space="preserve"> Frequency response test (any droop in range of 3 - 6%):</t>
  </si>
  <si>
    <t>Frequency change (Hz): 50 to 50.15; Active Power dispatch (pu): 1; POI Voltage (pu): 1; Power factor (pf): Unity; PPC Frequency Flag: On</t>
  </si>
  <si>
    <t>Frequency change (Hz): 50 to 50.15; Active Power dispatch (pu): 1; POI Voltage (pu): 1; Power factor (pf): Unity; Frequency response test (any droop in range of 3 - 6%):</t>
  </si>
  <si>
    <t>Frequency change (Hz): 50 to 50.15; Active Power dispatch (pu): 0.5; POI Voltage (pu): 1; Power factor (pf): Unity; PPC Frequency Flag: On</t>
  </si>
  <si>
    <t>Frequency change (Hz): 50 to 50.15; Active Power dispatch (pu): 0.5; POI Voltage (pu): 1; Power factor (pf): Unity; Frequency response test (any droop in range of 3 - 6%):</t>
  </si>
  <si>
    <t>Frequency change (Hz): 50 to 50.15; Active Power dispatch (pu): 0.1; POI Voltage (pu): 1; Power factor (pf): Unity; PPC Frequency Flag: On</t>
  </si>
  <si>
    <t>Frequency change (Hz): 50 to 50.15; Active Power dispatch (pu): 0.1; POI Voltage (pu): 1; Power factor (pf): Unity; Frequency response test (any droop in range of 3 - 6%):</t>
  </si>
  <si>
    <t>Frequency change (Hz): 50 to 49.85; Active Power dispatch (pu): 1; POI Voltage (pu): 1; Power factor (pf): Unity; PPC Frequency Flag: On</t>
  </si>
  <si>
    <t>Frequency change (Hz): 50 to 49.85; Active Power dispatch (pu): 1; POI Voltage (pu): 1; Power factor (pf): Unity; Frequency response test (any droop in range of 3 - 6%):</t>
  </si>
  <si>
    <t>Frequency change (Hz): 50 to 49.85; Active Power dispatch (pu): 0.5; POI Voltage (pu): 1; Power factor (pf): Unity; PPC Frequency Flag: On</t>
  </si>
  <si>
    <t>Frequency change (Hz): 50 to 49.85; Active Power dispatch (pu): 0.5; POI Voltage (pu): 1; Power factor (pf): Unity; Frequency response test (any droop in range of 3 - 6%):</t>
  </si>
  <si>
    <t>Frequency change (Hz): 50 to 49.85; Active Power dispatch (pu): 0.1; POI Voltage (pu): 1; Power factor (pf): Unity; PPC Frequency Flag: On</t>
  </si>
  <si>
    <t>Frequency change (Hz): 50 to 49.85; Active Power dispatch (pu): 0.1; POI Voltage (pu): 1; Power factor (pf): Unity; Frequency response test (any droop in range of 3 - 6%):</t>
  </si>
  <si>
    <t xml:space="preserve">Change in frequency (Hz): Greater than 0.3Hz (upwards); Active Power dispatch (pu): 0.9; POI Voltage (pu): 1; Power factor (pf): Unity; </t>
  </si>
  <si>
    <t>Change in frequency (Hz): Greater than 0.3Hz (upwards); Active Power dispatch (pu): 0.9; POI Voltage (pu): 1; Power factor (pf): Unity; Demonstration of immediate (within 1 second) real power primary frequency response of at least 10% of maximum Alternating Current active power capacity for frequency deviation in excess of 0.3 Hz:; Greater than 0.3Hz (upwards)</t>
  </si>
  <si>
    <t xml:space="preserve">Change in frequency (Hz): Greater than 0.3Hz (downwards); Active Power dispatch (pu): 0.9; POI Voltage (pu): 1; Power factor (pf): Unity; </t>
  </si>
  <si>
    <t>Change in frequency (Hz): Greater than 0.3Hz (downwards); Active Power dispatch (pu): 0.9; POI Voltage (pu): 1; Power factor (pf): Unity; Demonstration of immediate (within 1 second) real power primary frequency response of at least 10% of maximum Alternating Current active power capacity for frequency deviation in excess of 0.3 Hz:; Greater than 0.3Hz (downwards)</t>
  </si>
  <si>
    <t xml:space="preserve">HVRT Target Voltage (pu): 1.3; Duration of voltage rise (sec): 0.2; Initial Active Power dispatch (pu): 1; Nature of voltage rise: Balanced Three phase; </t>
  </si>
  <si>
    <t>HVRT Target Voltage (pu): 1.3; Duration of voltage rise (sec): 0.2; Initial Active Power dispatch (pu): 1; Nature of voltage rise: Balanced Three phase; High voltage ride through; Balanced Three phase</t>
  </si>
  <si>
    <t>HVRT Test | Level: PEMT | Domain: EMT
▶ File Name (PDF): Attach simulation output showing voltage, P, Q, Id, Iq time plots for this HVRT case. Verify inverter absorbs reactive power (negative ΔIq) during voltage rise. Format: 'TC_&lt;NNN&gt;_&lt;RMS/EMT&gt;_Results.pdf'.
▶ File Name (Sim): Provide 'test.pscx' model file replicating this exact HVRT scenario.
▶ Key checks: No tripping, reactive absorption as per K-factor, active power maintained.</t>
  </si>
  <si>
    <t xml:space="preserve">HVRT Target Voltage (pu): 1.2; Duration of voltage rise (sec): 2; Initial Active Power dispatch (pu): 1; Nature of voltage rise: Balanced Three phase; </t>
  </si>
  <si>
    <t>HVRT Target Voltage (pu): 1.2; Duration of voltage rise (sec): 2; Initial Active Power dispatch (pu): 1; Nature of voltage rise: Balanced Three phase; High voltage ride through; Balanced Three phase</t>
  </si>
  <si>
    <t xml:space="preserve">HVRT Target Voltage (pu): 1.1; Duration of voltage rise (sec): Continuous; Initial Active Power dispatch (pu): 1; Nature of voltage rise: Balanced Three phase; </t>
  </si>
  <si>
    <t>HVRT Target Voltage (pu): 1.1; Duration of voltage rise (sec): Continuous; Initial Active Power dispatch (pu): 1; Nature of voltage rise: Balanced Three phase; High voltage ride through; Balanced Three phase</t>
  </si>
  <si>
    <t xml:space="preserve">HVRT Target Voltage (pu): 1.3; Duration of voltage rise (sec): 0.2; Initial Active Power dispatch (pu): 1; Nature of voltage rise: Single phase; </t>
  </si>
  <si>
    <t>HVRT Target Voltage (pu): 1.3; Duration of voltage rise (sec): 0.2; Initial Active Power dispatch (pu): 1; Nature of voltage rise: Single phase; High voltage ride through; Single phase</t>
  </si>
  <si>
    <t xml:space="preserve">HVRT Target Voltage (pu): 1.2; Duration of voltage rise (sec): 2; Initial Active Power dispatch (pu): 1; Nature of voltage rise: Single phase; </t>
  </si>
  <si>
    <t>HVRT Target Voltage (pu): 1.2; Duration of voltage rise (sec): 2; Initial Active Power dispatch (pu): 1; Nature of voltage rise: Single phase; High voltage ride through; Single phase</t>
  </si>
  <si>
    <t xml:space="preserve">HVRT Target Voltage (pu): 1.1; Duration of voltage rise (sec): Continuous; Initial Active Power dispatch (pu): 1; Nature of voltage rise: Single phase; </t>
  </si>
  <si>
    <t>HVRT Target Voltage (pu): 1.1; Duration of voltage rise (sec): Continuous; Initial Active Power dispatch (pu): 1; Nature of voltage rise: Single phase; High voltage ride through; Single phase</t>
  </si>
  <si>
    <t xml:space="preserve">HVRT Target Voltage (pu): 1.3; Duration of voltage rise (sec): 0.2; Initial Active Power dispatch (pu): 0.5; Nature of voltage rise: Balanced Three phase; </t>
  </si>
  <si>
    <t>HVRT Target Voltage (pu): 1.3; Duration of voltage rise (sec): 0.2; Initial Active Power dispatch (pu): 0.5; Nature of voltage rise: Balanced Three phase; High voltage ride through; Balanced Three phase</t>
  </si>
  <si>
    <t>HVRT Target Voltage (pu): 1.2; Duration of voltage rise (sec): 2; Initial Active Power dispatch (pu): 0.5; Nature of voltage rise: Balanced Three phase;</t>
  </si>
  <si>
    <t>HVRT Target Voltage (pu): 1.2; Duration of voltage rise (sec): 2; Initial Active Power dispatch (pu): 0.5; Nature of voltage rise: Balanced Three phase; High voltage ride through; Balanced Three phase</t>
  </si>
  <si>
    <t xml:space="preserve">HVRT Target Voltage (pu): 1.1; Duration of voltage rise (sec): Continuous; Initial Active Power dispatch (pu): 0.5; Nature of voltage rise: Balanced Three phase; </t>
  </si>
  <si>
    <t>HVRT Target Voltage (pu): 1.1; Duration of voltage rise (sec): Continuous; Initial Active Power dispatch (pu): 0.5; Nature of voltage rise: Balanced Three phase; High voltage ride through; Balanced Three phase</t>
  </si>
  <si>
    <t xml:space="preserve">HVRT Target Voltage (pu): 1.3; Duration of voltage rise (sec): 0.2; Initial Active Power dispatch (pu): 0.5; Nature of voltage rise: Single phase; </t>
  </si>
  <si>
    <t>HVRT Target Voltage (pu): 1.3; Duration of voltage rise (sec): 0.2; Initial Active Power dispatch (pu): 0.5; Nature of voltage rise: Single phase; High voltage ride through; Single phase</t>
  </si>
  <si>
    <t>HVRT Target Voltage (pu): 1.2; Duration of voltage rise (sec): 2; Initial Active Power dispatch (pu): 0.5; Nature of voltage rise: Single phase; High voltage ride through; Single phase</t>
  </si>
  <si>
    <t>HVRT Target Voltage (pu): 1.1; Duration of voltage rise (sec): Continuous; Initial Active Power dispatch (pu): 0.5; Nature of voltage rise: Single phase;</t>
  </si>
  <si>
    <t>HVRT Target Voltage (pu): 1.1; Duration of voltage rise (sec): Continuous; Initial Active Power dispatch (pu): 0.5; Nature of voltage rise: Single phase; High voltage ride through; Single phase</t>
  </si>
  <si>
    <t xml:space="preserve">HVRT Target Voltage (pu): 1.3; Duration of voltage rise (sec): 0.2; Initial Active Power dispatch (pu): 0.25; Nature of voltage rise: Balanced Three phase; </t>
  </si>
  <si>
    <t>HVRT Target Voltage (pu): 1.3; Duration of voltage rise (sec): 0.2; Initial Active Power dispatch (pu): 0.25; Nature of voltage rise: Balanced Three phase; High voltage ride through; Balanced Three phase</t>
  </si>
  <si>
    <t xml:space="preserve">HVRT Target Voltage (pu): 1.2; Duration of voltage rise (sec): 2; Initial Active Power dispatch (pu): 0.25; Nature of voltage rise: Balanced Three phase; </t>
  </si>
  <si>
    <t>HVRT Target Voltage (pu): 1.2; Duration of voltage rise (sec): 2; Initial Active Power dispatch (pu): 0.25; Nature of voltage rise: Balanced Three phase; High voltage ride through; Balanced Three phase</t>
  </si>
  <si>
    <t xml:space="preserve">HVRT Target Voltage (pu): 1.1; Duration of voltage rise (sec): Continuous; Initial Active Power dispatch (pu): 0.25; Nature of voltage rise: Balanced Three phase; </t>
  </si>
  <si>
    <t>HVRT Target Voltage (pu): 1.1; Duration of voltage rise (sec): Continuous; Initial Active Power dispatch (pu): 0.25; Nature of voltage rise: Balanced Three phase; High voltage ride through; Balanced Three phase</t>
  </si>
  <si>
    <t xml:space="preserve">HVRT Target Voltage (pu): 1.3; Duration of voltage rise (sec): 0.2; Initial Active Power dispatch (pu): 0.25; Nature of voltage rise: Single phase; </t>
  </si>
  <si>
    <t>HVRT Target Voltage (pu): 1.3; Duration of voltage rise (sec): 0.2; Initial Active Power dispatch (pu): 0.25; Nature of voltage rise: Single phase; High voltage ride through; Single phase</t>
  </si>
  <si>
    <t xml:space="preserve">HVRT Target Voltage (pu): 1.2; Duration of voltage rise (sec): 2; Initial Active Power dispatch (pu): 0.25; Nature of voltage rise: Single phase; </t>
  </si>
  <si>
    <t>HVRT Target Voltage (pu): 1.2; Duration of voltage rise (sec): 2; Initial Active Power dispatch (pu): 0.25; Nature of voltage rise: Single phase; High voltage ride through; Single phase</t>
  </si>
  <si>
    <t xml:space="preserve">HVRT Target Voltage (pu): 1.1; Duration of voltage rise (sec): Continuous; Initial Active Power dispatch (pu): 0.25; Nature of voltage rise: Single phase; </t>
  </si>
  <si>
    <t>HVRT Target Voltage (pu): 1.1; Duration of voltage rise (sec): Continuous; Initial Active Power dispatch (pu): 0.25; Nature of voltage rise: Single phase; High voltage ride through; Single phase</t>
  </si>
  <si>
    <t>PRMS</t>
  </si>
  <si>
    <t>Reactive power capability test:</t>
  </si>
  <si>
    <t xml:space="preserve">POI Voltage (pu): 1; 
Supplemental devices(SVC/STATCOM)(if any): In - service(if installed) </t>
  </si>
  <si>
    <t>HVRT Target Voltage (pu): 1; Duration of voltage rise (sec): In-service (If installed); Reactive power capability test:</t>
  </si>
  <si>
    <t>Reactive Power Capability Test | Level: PRMS | Domain: RMS
▶ File Name (PDF): Attach simulation results showing maximum capacitive and inductive reactive power at specified POI voltage. Supplemental devices (SVG/STATCOM) must be modelled as 'In Service' or 'Out of Service' per test parameters.
▶ File Name (Sim): Provide 'test.sav' model file with supplemental device status as specified.
▶ Key check: Plant must demonstrate full ±Q range per PQ capability curve.</t>
  </si>
  <si>
    <t xml:space="preserve">POI Voltage (pu): 0.95; 
Supplemental devices(SVC/STATCOM)(if any): In - service(if installed) </t>
  </si>
  <si>
    <t>HVRT Target Voltage (pu): 0.95; Duration of voltage rise (sec): In-service (If installed); Reactive power capability test:</t>
  </si>
  <si>
    <t xml:space="preserve">POI Voltage (pu): 1.05; 
Supplemental devices(SVC/STATCOM)(if any): In - service(if installed) </t>
  </si>
  <si>
    <t>HVRT Target Voltage (pu): 1.05; Duration of voltage rise (sec): In-service (If installed); Reactive power capability test:</t>
  </si>
  <si>
    <t>POI Voltage (pu): 1; 
Supplemental devices(SVC/STATCOM)(if any): Out of service</t>
  </si>
  <si>
    <t>HVRT Target Voltage (pu): 1; Duration of voltage rise (sec): Out of service; Reactive power capability test:</t>
  </si>
  <si>
    <t>POI Voltage (pu): 0.95; 
Supplemental devices(SVC/STATCOM)(if any):Out of service</t>
  </si>
  <si>
    <t>HVRT Target Voltage (pu): 0.95; Duration of voltage rise (sec): Out of service; Reactive power capability test:</t>
  </si>
  <si>
    <t>POI Voltage (pu): 1.05; 
Supplemental devices(SVC/STATCOM)(if any): Out of service</t>
  </si>
  <si>
    <t>HVRT Target Voltage (pu): 1.05; Duration of voltage rise (sec): Out of service; Reactive power capability test:</t>
  </si>
  <si>
    <t xml:space="preserve"> Capability to operate in frequency range: 47.5Hz to 52Hz with +/-5% voltage variation</t>
  </si>
  <si>
    <t xml:space="preserve">Frequency change (Hz): 50 to 47.5; Default Active Power dispatch (pu): 1; POI Voltage (pu): 1; PPC Frequency Flag: Off; </t>
  </si>
  <si>
    <t>Frequency change (Hz): 50 to 47.5; Default Active Power dispatch (pu): 1; POI Voltage (pu): 1; PPC Frequency Flag: Off; Capability to operate in frequency range: 47.5Hz to 52Hz with +/-5% voltage variation</t>
  </si>
  <si>
    <t>Frequency Response Test | Level: PRMS | Domain: RMS
▶ File Name (PDF): Attach simulation output showing frequency step and corresponding active power response. Include time plots for frequency (Hz) and P (pu). Droop response must be visible within the configured dead-band.
▶ File Name (Sim): Provide 'test.sav' model file configured with PPC frequency flag ON for this test.
▶ Key check: Droop must be in range 3%–6%; FFR tests require ≥10% P response within 1 second for |Δf| &gt; 0.3 Hz.</t>
  </si>
  <si>
    <t xml:space="preserve">Frequency change (Hz): 50 to 52; Default Active Power dispatch (pu): 1; POI Voltage (pu): 1; PPC Frequency Flag: Off; </t>
  </si>
  <si>
    <t>Frequency change (Hz): 50 to 52; Capability to operate in frequency range: 47.5Hz to 52Hz with +/-5% voltage variation</t>
  </si>
  <si>
    <t xml:space="preserve"> Capability to provide rated output in frequency range of 49.5Hz to 50.5Hz with +/-5% voltage variation</t>
  </si>
  <si>
    <t>Frequency change (Hz): 50 to 49.5; POI Voltage (pu): 0.95; Power factor (pf): Lagging (0.95); Active Power dispatch (pu): 1; PPC Frequency Flag: Off</t>
  </si>
  <si>
    <t>Frequency change (Hz): 50 to 49.5; POI Voltage (pu): 0.95; Power factor (pf): Lagging (0.95); Active Power dispatch (pu): 1; Capability to provide rated output in frequency range of 49.5Hz to 50.5Hz with +/-5% voltage variation; Lagging (0.95)</t>
  </si>
  <si>
    <t>Frequency change (Hz): 50 to 49.5; 
POI Voltage (pu): 1.05; 
Power factor (pf): Leading (0.95); 
Active Power dispatch (pu): 1; 
PPC Frequency Flag: Off</t>
  </si>
  <si>
    <t>POI Voltage (pu): 1.05pu; Capability to provide rated output in frequency range of 49.5Hz to 50.5Hz with +/-5% voltage variation</t>
  </si>
  <si>
    <t>Frequency change (Hz): 50 to 50.5; 
POI Voltage (pu): 0.95; 
Power factor (pf): Lagging (0.95); 
Active Power dispatch (pu): 1; 
PPC Frequency Flag: Off</t>
  </si>
  <si>
    <t>Frequency change (Hz): 50 to 50.5; POI Voltage (pu): 0.95pu; Power factor (pf): Lagging (0.95); Capability to provide rated output in frequency range of 49.5Hz to 50.5Hz with +/-5% voltage variation; Lagging (0.95)</t>
  </si>
  <si>
    <t>Frequency change (Hz): 50 to 50.5; 
POI Voltage (pu): 1.05; 
Power factor (pf): Leading (0.95); 
Active Power dispatch (pu): 1; 
PPC Frequency Flag: Off</t>
  </si>
  <si>
    <t xml:space="preserve">LVRT Target Voltage (pu): 0.85; 
Duration of voltage dip (sec): 3; 
Pre-fault Active Power dispatch (pu): 1; 
Nature of voltage dip: Balanced; </t>
  </si>
  <si>
    <t>LVRT Target Voltage (pu): 0.85; Duration of voltage dip (sec): 3; Pre-fault Active Power dispatch (pu): 1; Nature of voltage dip: Balanced; Low voltage ride through; Balanced</t>
  </si>
  <si>
    <t>LVRT Test | Level: PRMS | Domain: RMS
▶ File Name (PDF): Attach the corresponding PSCAD/PSS/E simulation output report showing voltage, active power (P), reactive power (Q), Id, and Iq time-domain plots for this specific test case. Format: 'TC_&lt;NNN&gt;_&lt;RMS/EMT&gt;_Results.pdf'. Ensure plots clearly show pre-fault, during-fault, and post-fault periods.
▶ File Name (Sim): Provide the simulation model file used – 'test.sav'. For PSS/E: .SAV + .DYR file; for PSCAD: .pscx/.pswx file. File should reproduce the exact test case documented in the report.
▶ Key checks: No inverter tripping, ΔIq &gt; 0 during fault, active power recovers ≥90% within 1 sec of clearance.</t>
  </si>
  <si>
    <t xml:space="preserve">LVRT Target Voltage (pu): 0.5; 
Duration of voltage dip (sec): 1.65; 
Pre-fault Active Power dispatch (pu): 1; 
Nature of voltage dip: Balanced; </t>
  </si>
  <si>
    <t>LVRT Target Voltage (pu): 0.5; Duration of voltage dip (sec): 1.65; Low voltage ride through</t>
  </si>
  <si>
    <t xml:space="preserve">LVRT Target Voltage (pu): 0.15; 
Duration of voltage dip (sec):0.3; 
Pre-fault Active Power dispatch (pu): 1; 
Nature of voltage dip: Balanced; </t>
  </si>
  <si>
    <t>LVRT Target Voltage (pu): 0.15; Duration of voltage dip (sec): 0.3; Low voltage ride through</t>
  </si>
  <si>
    <t xml:space="preserve">LVRT Target Voltage (pu): 0.85; 
Duration of voltage dip (sec): 3; 
Pre-fault Active Power dispatch (pu): 0.5; 
Nature of voltage dip: Balanced; </t>
  </si>
  <si>
    <t>LVRT Target Voltage (pu): 0.85; Duration of voltage dip (sec): 3; Pre-fault Active Power dispatch (pu): 0.5; Low voltage ride through</t>
  </si>
  <si>
    <t xml:space="preserve">LVRT Target Voltage (pu): 0.5; 
Duration of voltage dip (sec): 1.65; 
Pre-fault Active Power dispatch (pu): 0.5; 
Nature of voltage dip: Balanced; </t>
  </si>
  <si>
    <t xml:space="preserve">LVRT Target Voltage (pu): 0.15; 
Duration of voltage dip (sec):0.3; 
Pre-fault Active Power dispatch (pu): 0.5; 
Nature of voltage dip: Balanced; </t>
  </si>
  <si>
    <t xml:space="preserve">LVRT Target Voltage (pu): 0.85; 
Duration of voltage dip (sec): 3; 
Pre-fault Active Power dispatch (pu): 0.25; 
Nature of voltage dip: Balanced; </t>
  </si>
  <si>
    <t>LVRT Target Voltage (pu): 0.85; Duration of voltage dip (sec): 3; Pre-fault Active Power dispatch (pu): 0.25; Low voltage ride through</t>
  </si>
  <si>
    <t xml:space="preserve">LVRT Target Voltage (pu): 0.5; 
Duration of voltage dip (sec): 1.65; 
Pre-fault Active Power dispatch (pu): 0.25; 
Nature of voltage dip: Balanced; </t>
  </si>
  <si>
    <t xml:space="preserve">LVRT Target Voltage (pu): 0.15; 
Duration of voltage dip (sec):0.3; 
Pre-fault Active Power dispatch (pu): 0.25; 
Nature of voltage dip: Balanced; </t>
  </si>
  <si>
    <t>Active power set-point and Ramp up test (rate &lt; 10% per minute) 
POI Voltage (pu): 1; 
Power factor (pf): Unity;</t>
  </si>
  <si>
    <t>Change in active power dispatch: Active power set-point and Ramp up test (rate &lt; 10% per minute); POI Voltage (pu): 1; Power factor (pf): Unity; Active power set-point and Rate of change of active power; Active power set-point and Ramp up test (rate &lt; 10% per minute)</t>
  </si>
  <si>
    <t>Ramp Rate / Active Power Set-point Test | Level: PRMS | Domain: RMS
▶ File Name (PDF): Attach simulation output showing ramp-up/ramp-down power response over time. Plot must show ramp rate (MW/min) and confirm it is ≤10% of rated per minute.
▶ File Name (Sim): Provide 'test.sav' model file for this ramp test.
▶ Key check: Ramp rate ≤10% of rated MW per minute as required by CEA/Grid Code.</t>
  </si>
  <si>
    <t>Active power set-point and Ramp down test (ramp rate &lt; 10% per minute)
POI Voltage (pu): 1; 
Power factor (pf): Unity;</t>
  </si>
  <si>
    <t>Change in active power dispatch: Active power set-point and Ramp down test (ramp rate &lt; 10% per minute); Active power set-point and Rate of change of active power; Active power set-point and Ramp down test (ramp rate &lt; 10% per minute)</t>
  </si>
  <si>
    <t>Frequency change (Hz): 50 to 50.15; 
Active Power dispatch (pu): 1; 
POI Voltage (pu): 1; 
Power factor (pf): Unity; 
PPC Frequency Flag: On</t>
  </si>
  <si>
    <t>Frequency change (Hz): 50 to 50.15; Active Power dispatch (pu): 1; POI Voltage (pu): 1; Power factor (pf): Unity; Frequency response test (any droop in range of 3 - 6%)</t>
  </si>
  <si>
    <t>Frequency change (Hz): 50 to 50.15; 
Active Power dispatch (pu): 0.5; 
POI Voltage (pu): 1; 
Power factor (pf): Unity; 
PPC Frequency Flag: On</t>
  </si>
  <si>
    <t>Active Power dispatch (pu): 0.5; Frequency response test (any droop in range of 3 - 6%)</t>
  </si>
  <si>
    <t>Frequency change (Hz): 50 to 50.15; 
Active Power dispatch (pu): 0.1; 
POI Voltage (pu): 1; 
Power factor (pf): Unity; 
PPC Frequency Flag: On</t>
  </si>
  <si>
    <t>Active Power dispatch (pu): 0.1; Frequency response test (any droop in range of 3 - 6%)</t>
  </si>
  <si>
    <t>Frequency change (Hz): 50 to 49.85; 
Active Power dispatch (pu): 1; 
POI Voltage (pu): 1; 
Power factor (pf): Unity; 
PPC Frequency Flag: On</t>
  </si>
  <si>
    <t>Frequency change (Hz): 50 to 49.85; Active Power dispatch (pu): 1; Frequency response test (any droop in range of 3 - 6%)</t>
  </si>
  <si>
    <t>Frequency change (Hz): 50 to 49.85; 
Active Power dispatch (pu): 0.5; 
POI Voltage (pu): 1; 
Power factor (pf): Unity; 
PPC Frequency Flag: On</t>
  </si>
  <si>
    <t>Frequency change (Hz): 50 to 49.85; 
Active Power dispatch (pu): 0.1; 
POI Voltage (pu): 1; 
Power factor (pf): Unity; 
PPC Frequency Flag: On</t>
  </si>
  <si>
    <t>Demonstration of immediate (within 1 second) real power primary frequency response of at least 10% of maximum Alternating Current active power capacity for frequency deviation in excess of 0.3 Hz:</t>
  </si>
  <si>
    <t xml:space="preserve">Change in frequency (Hz): Greater than 0.3Hz (upwards); Default Active Power dispatch (pu): 0.9; 
POI Voltage (pu): 1; 
Power factor (pf): Unity; </t>
  </si>
  <si>
    <t xml:space="preserve">Greater than 0.3Hz (downwards)
Default Active Power dispatch (pu): 0.9; 
POI Voltage (pu): 1; 
Power factor (pf): Unity; </t>
  </si>
  <si>
    <t>Change in frequency (Hz): Greater than 0.3Hz (downwards); Demonstration of immediate (within 1 second) real power primary frequency response of at least 10% of maximum Alternating Current active power capacity for frequency deviation in excess of 0.3 Hz:; Greater than 0.3Hz (downwards)</t>
  </si>
  <si>
    <t>High voltage ride through:</t>
  </si>
  <si>
    <t xml:space="preserve">HVRT Target Voltage (pu): 1.3; 
Duration of voltage rise (sec): 0.2; 
Initial Active Power dispatch (pu): 1; 
Nature of voltage rise: Balanced; </t>
  </si>
  <si>
    <t>HVRT Target Voltage (pu): 1.3; Duration of voltage rise (sec): 0.2; Initial Active Power dispatch (pu): 1; Nature of voltage rise: Balanced; High voltage ride through:; Balanced</t>
  </si>
  <si>
    <t>HVRT Test | Level: PRMS | Domain: RMS
▶ File Name (PDF): Attach simulation output showing voltage, P, Q, Id, Iq time plots for this HVRT case. Verify inverter absorbs reactive power (negative ΔIq) during voltage rise. Format: 'TC_&lt;NNN&gt;_&lt;RMS/EMT&gt;_Results.pdf'.
▶ File Name (Sim): Provide 'test.sav' model file replicating this exact HVRT scenario.
▶ Key checks: No tripping, reactive absorption as per K-factor, active power maintained.</t>
  </si>
  <si>
    <t xml:space="preserve">HVRT Target Voltage (pu): 1.2; 
Duration of voltage rise (sec): 2; 
Initial Active Power dispatch (pu): 1; 
Nature of voltage rise: Balanced; </t>
  </si>
  <si>
    <t>HVRT Target Voltage (pu): 1.2; Duration of voltage rise (sec): 2; High voltage ride through:</t>
  </si>
  <si>
    <t xml:space="preserve">HVRT Target Voltage (pu): 1.1; 
Duration of voltage rise (sec): Continuous; 
Initial Active Power dispatch (pu): 1; 
Nature of voltage rise: Balanced; </t>
  </si>
  <si>
    <t>HVRT Target Voltage (pu): 1.1; Duration of voltage rise (sec): Continuous; High voltage ride through:</t>
  </si>
  <si>
    <t xml:space="preserve">HVRT Target Voltage (pu): 1.3; 
Duration of voltage rise (sec): 0.2; 
Initial Active Power dispatch (pu): 0.5; 
Nature of voltage rise: Balanced; </t>
  </si>
  <si>
    <t>HVRT Target Voltage (pu): 1.3; Duration of voltage rise (sec): 0.2; Initial Active Power dispatch (pu): 0.5; High voltage ride through:</t>
  </si>
  <si>
    <t xml:space="preserve">HVRT Target Voltage (pu): 1.2; 
Duration of voltage rise (sec): 2; 
Initial Active Power dispatch (pu): 0.5; 
Nature of voltage rise: Balanced; </t>
  </si>
  <si>
    <t xml:space="preserve">HVRT Target Voltage (pu): 1.1; 
Duration of voltage rise (sec): Continuous; 
Initial Active Power dispatch (pu): 0.5; 
Nature of voltage rise: Balanced; </t>
  </si>
  <si>
    <t>HVRT Target Voltage (pu): 1.3; Duration of voltage rise (sec): 0.2; Initial Active Power dispatch (pu): 0.2; High voltage ride through:</t>
  </si>
  <si>
    <t xml:space="preserve">HVRT Target Voltage (pu): 1.2; 
Duration of voltage rise (sec): 2; 
Initial Active Power dispatch (pu): 0.2; 
Nature of voltage rise: Balanced; </t>
  </si>
  <si>
    <t xml:space="preserve">HVRT Target Voltage (pu): 1.1; 
Duration of voltage rise (sec): Continuous; 
Initial Active Power dispatch (pu): 0.2; 
Nature of voltage rise: Balanced; </t>
  </si>
  <si>
    <t>Row Labels</t>
  </si>
  <si>
    <t>Count of Unit level(UIBR), USVG/Plant level(P)</t>
  </si>
  <si>
    <t>Grand Total</t>
  </si>
  <si>
    <t>Checklist for Prerequisites prior to Submission of Final Data</t>
  </si>
  <si>
    <t>Checklist Item</t>
  </si>
  <si>
    <t>Reactive Capability</t>
  </si>
  <si>
    <t>No overloading observed in transformers / IDTs &amp; any other elements</t>
  </si>
  <si>
    <t>Confirm no transformer (power transformer or IDT) is overlo+F3:F19aded (&gt;100% of nameplate rating) in any simulation scenario. Check thermal limit compliance at site temperature. Enter 'Yes' if no overloading observed.</t>
  </si>
  <si>
    <t>Load-Flow achieved using full-newton raphson method for the detailed Plant model</t>
  </si>
  <si>
    <t>Confirm whether load-flow solutions are converged using Full-Newton Raphson method &amp; verify the load-flow solution parameters considered/assumed in PSSE steady state report.</t>
  </si>
  <si>
    <t>Reactive power compensation is adequate</t>
  </si>
  <si>
    <t>Verify that reactive power compensation (SVG, capacitor banks, or IBR reactive capability) is adequate to meet 0.95 pf lag to 0.95 pf lead requirement at POI under all voltage conditions. Enter 'Yes' if adequate.</t>
  </si>
  <si>
    <t>Power Quality Study has been revised with actual short circuit level and X/R ratio obtained from CTUIL</t>
  </si>
  <si>
    <t>Harmonic impedance scan plots at POI for with and without filter cases has been incorporated in the report.</t>
  </si>
  <si>
    <t>Confirm filters are also included in the plant level dynamic simulation models of PSSE &amp; PSCAD</t>
  </si>
  <si>
    <t>How to model Filter banks in dynamic PSSE model? As capacitor or, switched shunt?  Does all IBR/WTG OEM also include unit level harmonic filter in PSSE/PSCAD?
Are all power-transformer model in the dynamic model are also frequency dependent?
How STATCOM at 33kV is modelled in PSCAD dynamic model, any series smoothing reactor available in SVG?</t>
  </si>
  <si>
    <t>Ensure filters are modelled in plant level simulation models</t>
  </si>
  <si>
    <t>PFR/FFR</t>
  </si>
  <si>
    <t>PFR controls can recommence after FFR response is delivered (fuel/resource availability = 100%)</t>
  </si>
  <si>
    <t>Verify whether the Master PPC (primary frequency controller) is able to govern the control of active power as per the frequency droop after 10% active power response is achieved within 1 second for frequency deviations &gt;0.3 Hz, considering all resource/fuel are available upto 1.0 pu</t>
  </si>
  <si>
    <t>Fast Frequency Response(FFR) response(&gt; 0.3 Hz) is adequate</t>
  </si>
  <si>
    <t>Verify Fast Frequency Response (FFR): Plant must inject/absorb ≥10% of rated active power within 1 second for |Δf| &gt; 0.3 Hz. Check plots in dynamics report. Enter 'Yes' if compliant, 'No' if not.</t>
  </si>
  <si>
    <t xml:space="preserve">Primary Frequency Response(PFR) response is adequate </t>
  </si>
  <si>
    <t>Verify Primary Frequency Response (PFR): Plant must respond proportionally to frequency deviation per configured droop (3%–6%). Response must be sustained as per the setting of frequency controller. Enter 'Yes' if demonstrated in frequency response test cases.</t>
  </si>
  <si>
    <t>Primary Frequency Response(PFR) sharing is proportional among generators/BESS inverters</t>
  </si>
  <si>
    <t>Subjected to MPPC active power distribution philosophy, active power priority distribution philosophy can override IBR or, WTG or, BESS based upon MPPC commands.</t>
  </si>
  <si>
    <t>Applicable if multiple generators or BESS inverters share PFR. Confirm that PFR sharing is proportional to each unit's rating (not biased to one unit). Enter 'Yes' if proportionality is demonstrated.. It is preferred  option;</t>
  </si>
  <si>
    <t>Modelling</t>
  </si>
  <si>
    <t>Unit Test report data matches simulation model data  or data considered in unit level simulation models is directly taken from unit test reports.</t>
  </si>
  <si>
    <t xml:space="preserve">Subjective, How to measure mismatch from unit level performance? Has FFR control philosophy been provided by OEM? </t>
  </si>
  <si>
    <t>Compare values from the unit-level type test report with PSCAD simulation model data. Ensure all data particularly harmonics, dc offset data is taken from test reports. Enter 'Yes' if values are matching. If 'No', investigate discrepancy and update model.</t>
  </si>
  <si>
    <t>OEM has certified which model parameters are tunable and non-tunable</t>
  </si>
  <si>
    <t>Confirm OEM has provided a formal document certifying which inverter/WTG model parameters can be adjusted (tunable) and which are fixed (non-tunable / OEM-locked). Enter 'Yes' if document received. Critical for benchmarking compliance.</t>
  </si>
  <si>
    <t>Parameters are consistent in simulation models PSSE, PSCAD &amp; Reports(Eg: MVA, Xsource of Inverters &amp; SVGs, R,X,B parameters of cables etc  )</t>
  </si>
  <si>
    <t>Verify that the MVA base used in PSS/E and PSCAD models is identical and consistent with the plant rating. Common error: mismatch between reports &amp; simulation models. Enter 'Yes' if consistent. Check all .DYR and .pscx files.</t>
  </si>
  <si>
    <t>Transformer taps remain unchanged across scenarios</t>
  </si>
  <si>
    <t>Verify that transformer tap positions are identical across all simulation scenarios (load flow cases). If taps change between cases, it must be justified. Enter 'Yes' if taps are consistent.</t>
  </si>
  <si>
    <t>Unit level simulation models are consistent with actual test results</t>
  </si>
  <si>
    <t>Confirm unit-level simulation models (PSS/E generic model / PSCAD detailed model) are validated against actual type test results. Validation report must show V, P, Q, Id, Iq comparison. Enter 'Yes' if validated.</t>
  </si>
  <si>
    <t>Plant EMT model Initialization achieved appropriately in the simulation for all different active power levels</t>
  </si>
  <si>
    <t>Confirm whether the plant model is able to initialise appropriately within 3-5 seconds (simulation time) &amp; review the auxiliary power drawn by the plant during the process. Recommended practice.</t>
  </si>
  <si>
    <t>Plant level dynamic simulation parameters, properties or assumptions used for the study is included in the respective report</t>
  </si>
  <si>
    <t>PSSE &amp; PSCAD Model parameters &amp; assumptions are mentioned in the  study reports in details</t>
  </si>
  <si>
    <t>PPC Enters into LVRT/HVRT conditions for all shallow fault cases</t>
  </si>
  <si>
    <t>Run a dynamic simulation (PSCAD/PSS/E) with LVRT at 0.85 pu and HVRT 1.1 pu (symmetrical &amp; asymmetrical) and verify PPC correctly switches to LVRT/HVRT mode. Enter 'Yes' if mode transition is correctly demonstrated.</t>
  </si>
  <si>
    <t>Id &amp; Iq are monitored at PoI level under LVRT/HVRT reactive power flow conditions</t>
  </si>
  <si>
    <t>Confirm that Id and Iq time-domain plots at POI level are included in the dynamics report for LVRT/HVRT cases. These plots validate reactive current injection compliance. Enter 'Yes' if plots are present and show correct behaviour.</t>
  </si>
  <si>
    <t>Plant performance is stable during LVRT/HVRT</t>
  </si>
  <si>
    <t>Subjective, oscillations are expected for unbalanced conditions</t>
  </si>
  <si>
    <t>Verify plant stability during LVRT/HVRT: No sustained oscillations in P, Q, V, or Id/Iq after fault clearance. Check time-domain plots for oscillation or divergence. Enter 'Yes' if stable post-fault response observed.</t>
  </si>
  <si>
    <t>Id &amp; Iq control behaviour in plant simulation plots matches test report plots</t>
  </si>
  <si>
    <t>Compare Id and Iq control behaviour time plots from plant-level PSCAD simulation vs. unit-level type test report for equivalent fault conditions. Enter 'Yes' if plots match in shape, magnitude, and timing (within ±10%).</t>
  </si>
  <si>
    <t>In case of unbalanced cases, dynamic simulation report shall also include Negative Sequence Currents &amp; Negative Sequence voltage of IBR(including supplemental devices) and POI</t>
  </si>
  <si>
    <t>Negative sequence currents &amp; voltages should also be plotted at unit level &amp; POI with appropriate scaling in per unit basis for respective equipment/plant MVA/Nameplate capacity.</t>
  </si>
  <si>
    <t>Unity PF, Voltage at POI 1.0 pu: BESS P(pu)</t>
  </si>
  <si>
    <t>Unity PF, Voltage at POI 1.0 pu: BESS Q(pu)</t>
  </si>
  <si>
    <t>RPCT_W_Compensation_V_1_pf_1.sav</t>
  </si>
  <si>
    <t>RPCT_W_Compensation_V_095_pf_1.sav</t>
  </si>
  <si>
    <t>RPCT_W_Compensation_V_1.05_pf_1.sav</t>
  </si>
  <si>
    <t>RPCT_WO_Compensation_V_1_pf_1.sav</t>
  </si>
  <si>
    <t>RPCT_WO_Compensation_V_095_pf_1.sav</t>
  </si>
  <si>
    <t>RPCT_W0_Compensation_V_1.05_pf_1.sav</t>
  </si>
  <si>
    <t>Freq_47.5Hz_V_1_P_1_pf_1.sav</t>
  </si>
  <si>
    <t>Freq_52Hz_V_1_P_1_pf_1.sav</t>
  </si>
  <si>
    <t>Freq_49.5Hz_V_0.95_P_1_pf_0.95.sav</t>
  </si>
  <si>
    <t>Freq_49.5Hz_V_1.05_P_1_pf_-0.95.sav</t>
  </si>
  <si>
    <t>Freq_50.5Hz_V_0.95_P_1_pf_0.95.sav</t>
  </si>
  <si>
    <t>Freq_50.5Hz_V_1.05_P_1_pf_-0.95.sav</t>
  </si>
  <si>
    <t>LVRT_0.85_P_100%.sav</t>
  </si>
  <si>
    <t>LVRT_0.5_P_100%.sav</t>
  </si>
  <si>
    <t>LVRT_0.15_P_100%.sav</t>
  </si>
  <si>
    <t>LVRT_0.85_P_50%.sav</t>
  </si>
  <si>
    <t>LVRT_0.5_P_25%.sav</t>
  </si>
  <si>
    <t>LVRT_0.5_P_50%.sav</t>
  </si>
  <si>
    <t>LVRT_0.15_P_50%.sav</t>
  </si>
  <si>
    <t>LVRT_0.85_P_25%.sav</t>
  </si>
  <si>
    <t>LVRT_0.15_P_25%.sav</t>
  </si>
  <si>
    <t>Ramp Up.sav</t>
  </si>
  <si>
    <t>Ramp Down.sav</t>
  </si>
  <si>
    <t>Freq_50.03-50.15Hz_P_1.sav</t>
  </si>
  <si>
    <t>Freq_50.03-50.15Hz_P_0.5.sav</t>
  </si>
  <si>
    <t>Freq_50.03-50.15Hz_P_0.1.sav</t>
  </si>
  <si>
    <t>Freq_49.97-49.85Hz_P_1.sav</t>
  </si>
  <si>
    <t>Freq_49.97-49.85Hz_P_0.5.sav</t>
  </si>
  <si>
    <t>Freq_49.97-49.85Hz_P_0.1.sav</t>
  </si>
  <si>
    <t>Freq_49.5Hz_P_0.9.sav</t>
  </si>
  <si>
    <t>Freq_50.5Hz_P_0.9.sav</t>
  </si>
  <si>
    <t>HVRT_1.1_P_100%.sav</t>
  </si>
  <si>
    <t>HVRT_1.1_P_50%.sav</t>
  </si>
  <si>
    <t>HVRT_1.1_P_25%.sav</t>
  </si>
  <si>
    <t>HVRT_1.2_P_100%.sav</t>
  </si>
  <si>
    <t>HVRT_1.2_P_50%.sav</t>
  </si>
  <si>
    <t>HVRT_1.2_P_25%.sav</t>
  </si>
  <si>
    <t>HVRT_1.3_P_100%.sav</t>
  </si>
  <si>
    <t>HVRT_1.3_P_50%.sav</t>
  </si>
  <si>
    <t>HVRT_1.3_P_25%.sav</t>
  </si>
  <si>
    <t>1000 MW Serentica_Hybrid,Solapur PSSE Model Study Report_V00</t>
  </si>
  <si>
    <t>50.49/-50.49</t>
  </si>
  <si>
    <t>60/-60</t>
  </si>
  <si>
    <t>51.15/-51.15</t>
  </si>
  <si>
    <t>153/0</t>
  </si>
  <si>
    <t>Hybrid ( Solar and Wind)</t>
  </si>
  <si>
    <t>153.6 MW VEH Green_Hybrid_Koppal Steady State Study Report_V01.PDF</t>
  </si>
  <si>
    <t>PSS/E LF Report.pdf</t>
  </si>
  <si>
    <t>25</t>
  </si>
  <si>
    <t>N.A</t>
  </si>
  <si>
    <t>0.85</t>
  </si>
  <si>
    <t>Annexure PSSE Model Study Response for Hybrid Operation.pdf</t>
  </si>
  <si>
    <t>PDF</t>
  </si>
  <si>
    <t>M/s VEH Green Energy Pvt. Ltd.</t>
  </si>
  <si>
    <t>Wind - CTU/S/5/Conn/INT-1C-2200000126
Solar - CTU/SR/CONN-INT-2B/2200002094</t>
  </si>
  <si>
    <t>1400007949 ( for 153.6MW Wind )
1400014697 (for 52.8MW Solar )</t>
  </si>
  <si>
    <t>765/400/220 kV Koppal-II ISTS SS.</t>
  </si>
  <si>
    <r>
      <t xml:space="preserve">Wind Turbine Generator- </t>
    </r>
    <r>
      <rPr>
        <b/>
        <sz val="9"/>
        <rFont val="Arial"/>
        <family val="2"/>
      </rPr>
      <t>Envision Energy India Pvt.Ltd.</t>
    </r>
    <r>
      <rPr>
        <sz val="9"/>
        <rFont val="Arial"/>
        <family val="2"/>
        <charset val="1"/>
      </rPr>
      <t xml:space="preserve">
Inverter - </t>
    </r>
    <r>
      <rPr>
        <b/>
        <sz val="9"/>
        <rFont val="Arial"/>
        <family val="2"/>
      </rPr>
      <t>Sineng Electric India Pvt.Ltd.</t>
    </r>
    <r>
      <rPr>
        <sz val="9"/>
        <rFont val="Arial"/>
        <family val="2"/>
        <charset val="1"/>
      </rPr>
      <t xml:space="preserve">
SVG - </t>
    </r>
    <r>
      <rPr>
        <b/>
        <sz val="9"/>
        <rFont val="Arial"/>
        <family val="2"/>
      </rPr>
      <t>TBEA Xi'an Electric Technology co.,Ltd.</t>
    </r>
  </si>
  <si>
    <t>Envision Energy India Pvt.Ltd.</t>
  </si>
  <si>
    <t>EIT AUTOMATION Pvt.Ltd.</t>
  </si>
  <si>
    <t>Solar: 52.8 MW
Wind: 155 MW</t>
  </si>
  <si>
    <t xml:space="preserve">1.6MVAr,33kV,2nd Order ST ( Tuning Frequency : 198Hz) </t>
  </si>
  <si>
    <t>2 x 30 MVAr</t>
  </si>
  <si>
    <r>
      <t xml:space="preserve">Wind Turbine Generator- </t>
    </r>
    <r>
      <rPr>
        <b/>
        <sz val="9"/>
        <rFont val="Arial"/>
        <family val="2"/>
      </rPr>
      <t>EN 182/5.0</t>
    </r>
    <r>
      <rPr>
        <sz val="9"/>
        <rFont val="Arial"/>
        <family val="2"/>
        <charset val="1"/>
      </rPr>
      <t xml:space="preserve">
Inverter - </t>
    </r>
    <r>
      <rPr>
        <b/>
        <sz val="9"/>
        <rFont val="Arial"/>
        <family val="2"/>
      </rPr>
      <t>EP-3300-HB-UD</t>
    </r>
    <r>
      <rPr>
        <sz val="9"/>
        <rFont val="Arial"/>
        <family val="2"/>
        <charset val="1"/>
      </rPr>
      <t xml:space="preserve">
SVG - </t>
    </r>
    <r>
      <rPr>
        <b/>
        <sz val="9"/>
        <rFont val="Arial"/>
        <family val="2"/>
      </rPr>
      <t>TSVG-30/33-W-C</t>
    </r>
  </si>
  <si>
    <r>
      <t xml:space="preserve">Wind Turbine Generator - </t>
    </r>
    <r>
      <rPr>
        <b/>
        <sz val="9"/>
        <rFont val="Arial"/>
        <family val="2"/>
      </rPr>
      <t>31 Nos.</t>
    </r>
    <r>
      <rPr>
        <sz val="9"/>
        <rFont val="Arial"/>
        <family val="2"/>
      </rPr>
      <t xml:space="preserve">
Inverter -</t>
    </r>
    <r>
      <rPr>
        <b/>
        <sz val="9"/>
        <rFont val="Arial"/>
        <family val="2"/>
      </rPr>
      <t xml:space="preserve"> 16 Nos.</t>
    </r>
    <r>
      <rPr>
        <sz val="9"/>
        <rFont val="Arial"/>
        <family val="2"/>
      </rPr>
      <t xml:space="preserve">
SVG -</t>
    </r>
    <r>
      <rPr>
        <b/>
        <sz val="9"/>
        <rFont val="Arial"/>
        <family val="2"/>
      </rPr>
      <t xml:space="preserve"> 2 Nos.</t>
    </r>
  </si>
  <si>
    <r>
      <t xml:space="preserve">Wind Turbine Generator - </t>
    </r>
    <r>
      <rPr>
        <b/>
        <sz val="9"/>
        <rFont val="Arial"/>
        <family val="2"/>
      </rPr>
      <t>5.0MW</t>
    </r>
    <r>
      <rPr>
        <sz val="9"/>
        <rFont val="Arial"/>
        <family val="2"/>
        <charset val="1"/>
      </rPr>
      <t xml:space="preserve">
Inverter - </t>
    </r>
    <r>
      <rPr>
        <b/>
        <sz val="9"/>
        <rFont val="Arial"/>
        <family val="2"/>
      </rPr>
      <t>3300kVA@50°C</t>
    </r>
    <r>
      <rPr>
        <sz val="9"/>
        <rFont val="Arial"/>
        <family val="2"/>
        <charset val="1"/>
      </rPr>
      <t xml:space="preserve">
SVG -</t>
    </r>
    <r>
      <rPr>
        <b/>
        <sz val="9"/>
        <rFont val="Arial"/>
        <family val="2"/>
      </rPr>
      <t xml:space="preserve"> 30MVAr</t>
    </r>
  </si>
  <si>
    <t xml:space="preserve">44 °C </t>
  </si>
  <si>
    <t>3. Datasheets of all the equipment</t>
  </si>
  <si>
    <t>11. IBR Temperature Derating</t>
  </si>
  <si>
    <t>12. Single Machines PSSE model and Benchmarking reports
13. Single Machines PSCAD model and Benchmarking reports</t>
  </si>
  <si>
    <t>5. Controller and Protection Settings</t>
  </si>
  <si>
    <t>2. SLDs</t>
  </si>
  <si>
    <t>3. Datasheets of all the equipment\H.5-PSS\H.5.2-Power Transformer</t>
  </si>
  <si>
    <t>7. PPC PSCAD User manual (master and slave (If any))</t>
  </si>
  <si>
    <t xml:space="preserve">7. PPC PSCAD User manual </t>
  </si>
  <si>
    <t>6. PPC Philosophy\EIT PPC Controller Datasheet</t>
  </si>
  <si>
    <t>H.5-PSS\H.5.11-PPC</t>
  </si>
  <si>
    <t>5. Controller and Protection Settings\4 PPC</t>
  </si>
  <si>
    <t>3. Datasheets of all the equipment\H.5-PSS\H.5.1-SVG</t>
  </si>
  <si>
    <t>12. Single Machines PSSE model and Benchmarking reports\3 SVG</t>
  </si>
  <si>
    <t>H.4-Wind\H.4.4-Transmission Line\H.4.4.1-33kV Transmission Line Route Layout</t>
  </si>
  <si>
    <t>4. IBR EvaluationType Test Reports and SoC</t>
  </si>
  <si>
    <t>4. IBR EvaluationType Test Reports and SoC\2 WTG</t>
  </si>
  <si>
    <t>3. Datasheets of all the equipment\H.3-Solar\H.3.2-Inverter</t>
  </si>
  <si>
    <t>4. IBR EvaluationType Test Reports and SoC\1 Inverter</t>
  </si>
  <si>
    <t>13. Single Machines PSCAD model and Benchmarking reports\1 Inverter</t>
  </si>
  <si>
    <t>12. Single Machines PSSE model and Benchmarking reports\1 Inverter</t>
  </si>
  <si>
    <t>8. IBR PQ Capability Curve\3 SVG
11. IBR Temperature Derating\3 SVG</t>
  </si>
  <si>
    <t>4. IBR EvaluationType Test Reports and SoC\3 SVG</t>
  </si>
  <si>
    <t>13. Single Machines PSCAD model and Benchmarking reports\3 SVG</t>
  </si>
  <si>
    <t>3. Datasheets of all the equipment\H.4-Wind\H.4.1-WTG</t>
  </si>
  <si>
    <t>12. Single Machines PSSE model and Benchmarking reports\2 WTG</t>
  </si>
  <si>
    <t>13. Single Machines PSCAD model and Benchmarking reports\2 WTG</t>
  </si>
  <si>
    <t>6. PPC Philosophy</t>
  </si>
  <si>
    <t>15. PSSE Steady State Report\153.6 MW VEH Green_Hybrid_Koppal Steady State Study Report_V01.PDF</t>
  </si>
  <si>
    <t>17. PSSE Dynamic Report\153.6 MW VEH Green_Hybrid_Koppal PSSE Model Study Report_V02.pdf</t>
  </si>
  <si>
    <t>20. PSCAD Power Quality Report\Power_Quality_Report_VEH_Rev_B.pdf</t>
  </si>
  <si>
    <t>22. PSCAD Dynamic Report\VEH_153.6MW_PSCAD_DYNAMICS_REPORT_RevC.pdf</t>
  </si>
  <si>
    <t>23. PSSE PSCAD Plant level Benchmarking Report\153.6 MW VEH Green_Hybrid_Koppal PSSE PSCAD Plant level Benchmarking Report_V01.pdf</t>
  </si>
  <si>
    <t>14. PSSE Detailed Model\01 Hybrid\W SVG\1 PU\153.6 MW VEH_Hybrid_A3.sav</t>
  </si>
  <si>
    <t>14. PSSE Detailed Model\01 Hybrid\W SVG\0.95 PU\153.6 MW VEH_Hybrid_B3.sav</t>
  </si>
  <si>
    <t>14. PSSE Detailed Model\01 Hybrid\W SVG\1.05 PU\153.6 MW VEH_Hybrid_C1.sav</t>
  </si>
  <si>
    <t>14. PSSE Detailed Model\01 Hybrid\W SVG\1 PU\153.6 MW VEH_Hybrid_A1.sav</t>
  </si>
  <si>
    <t>14. PSSE Detailed Model\01 Hybrid\W SVG\0.95 PU\153.6 MW VEH_Hybrid_B1.sav</t>
  </si>
  <si>
    <t>14. PSSE Detailed Model\01 Hybrid\W SVG\1 PU\153.6 MW VEH_Hybrid_A4.sav</t>
  </si>
  <si>
    <t>14. PSSE Detailed Model\01 Hybrid\W SVG\1.05 PU\153.6 MW VEH_Hybrid_C4.sav</t>
  </si>
  <si>
    <t>17. PSSE Dynamic Report\05 PSSE DYR and OUT Files\153.6 MW VEH</t>
  </si>
  <si>
    <t>19. PSCAD Detailed Power Quality Model\with filter\withfilter.pswx</t>
  </si>
  <si>
    <t>19. PSCAD Detailed Power Quality Model\with filter\10_153.6 MW VEH_Hybrid.pscx</t>
  </si>
  <si>
    <t>19. PSCAD Detailed Power Quality Model\with filter\20_153.6 MW VEH_Hybrid.pscx</t>
  </si>
  <si>
    <t>19. PSCAD Detailed Power Quality Model\with filter\30_153.6 MW VEH_Hybrid.pscx</t>
  </si>
  <si>
    <t>19. PSCAD Detailed Power Quality Model\with filter\40_153.6 MW VEH_Hybrid.pscx</t>
  </si>
  <si>
    <t>19. PSCAD Detailed Power Quality Model\with filter\50_153.6 MW VEH_Hybrid.pscx</t>
  </si>
  <si>
    <t>19. PSCAD Detailed Power Quality Model\with filter\60_153.6 MW VEH_Hybrid.pscx</t>
  </si>
  <si>
    <t>19. PSCAD Detailed Power Quality Model\with filter\70_153.6 MW VEH_Hybrid.pscx</t>
  </si>
  <si>
    <t>19. PSCAD Detailed Power Quality Model\with filter\80_153.6 MW VEH_Hybrid.pscx</t>
  </si>
  <si>
    <t>19. PSCAD Detailed Power Quality Model\with filter\90_153.6 MW VEH_Hybrid.pscx</t>
  </si>
  <si>
    <t>19. PSCAD Detailed Power Quality Model\with filter\100_153.6 MW VEH_Hybrid.pscx</t>
  </si>
  <si>
    <t>19. PSCAD Detailed Power Quality Model\with filter</t>
  </si>
  <si>
    <t>21. PSCAD Equivalent Model\VEH.pswx</t>
  </si>
  <si>
    <t>21. PSCAD Equivalent Model\Resources</t>
  </si>
  <si>
    <t>17. PSSE Dynamic Report\Batch_Run_PSSE.py</t>
  </si>
  <si>
    <t>26. Technical note and explanations by developers &amp; OEMs\Mail Ref_Actual shot circuit MVA of Koppal-II</t>
  </si>
  <si>
    <t>20. PSCAD Power Quality Report\Power_Quality_Report_VEH_Rev_B</t>
  </si>
  <si>
    <t>TBEA Xi'an Electric Technology co.,Ltd.</t>
  </si>
  <si>
    <t>15. PSSE Steady State Report</t>
  </si>
  <si>
    <t>14. PSSE Detailed Model</t>
  </si>
  <si>
    <t>17. PSSE Dynamic Report</t>
  </si>
  <si>
    <t>20. PSCAD Power Quality Report</t>
  </si>
  <si>
    <t>15.2° N, 76° E</t>
  </si>
  <si>
    <t>3. Datasheets of all the equipment\H.3-Solar\H.3.5-CablesTD_Doc_013.pdf,
3. Datasheets of all the equipment\H.4-Wind\H.4.3-LT 3.3kV Cable GTP (WTG to USS Trafo)</t>
  </si>
  <si>
    <t>3. Datasheets of all the equipment\H.3-Solar\H.3.6-Transmission Line\H.3.6.2-33kV Transmission Line Conductor GTP (Solar),
3. Datasheets of all the equipment\H.4-Wind\H.4.4-Transmission Line\Transmission Line Conductor GTP (Wind),
28. Miscellaneous\Annexure-A\Annexure-A.2-220kV Transmission line Conductor GTP,</t>
  </si>
  <si>
    <t>8. IBR PQ Capability Curve\2 WTG,
9. IBR Power Curve (Speed and Irradiance)\2 WTG,
11. IBR Temperature Derating\2 WTG</t>
  </si>
  <si>
    <t>8. IBR PQ Capability Curve
9. IBR Power Curve (Speed and Irradiance)</t>
  </si>
  <si>
    <t>3. Datasheets of all the equipment\H.4-Wind\H.4.2-WTG Transformer GA GTP &amp; Schematics</t>
  </si>
  <si>
    <t>3. Datasheets of all the equipment\H.3-Solar\H.3.4-Inverter Duty Transformer GA GTP</t>
  </si>
  <si>
    <t>27. Connectivity Documents Compliance sheet &amp; Agreements\CONN-TD-1_R1_VEHGEPL_2200000126 &amp; 2200002094</t>
  </si>
  <si>
    <t>27. Connectivity Documents Compliance sheet &amp; Agreements\Final_Grant_Connectivity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</si>
</sst>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43" x14ac:knownFonts="1">
    <font>
      <sz val="11"/>
      <color theme="1"/>
      <name val="Calibri"/>
      <family val="2"/>
      <charset val="1"/>
    </font>
    <font>
      <b/>
      <sz val="20"/>
      <color rgb="FFFFFFFF"/>
      <name val="Arial"/>
      <family val="2"/>
      <charset val="1"/>
    </font>
    <font>
      <b/>
      <sz val="14"/>
      <color rgb="FFFFD966"/>
      <name val="Arial"/>
      <family val="2"/>
      <charset val="1"/>
    </font>
    <font>
      <i/>
      <sz val="11"/>
      <color rgb="FFBDD7EE"/>
      <name val="Arial"/>
      <family val="2"/>
      <charset val="1"/>
    </font>
    <font>
      <b/>
      <sz val="11"/>
      <color rgb="FFFFFFFF"/>
      <name val="Arial"/>
      <family val="2"/>
      <charset val="1"/>
    </font>
    <font>
      <b/>
      <sz val="9"/>
      <color rgb="FF1F3864"/>
      <name val="Arial"/>
      <family val="2"/>
      <charset val="1"/>
    </font>
    <font>
      <b/>
      <sz val="9"/>
      <color rgb="FF000000"/>
      <name val="Arial"/>
      <family val="2"/>
      <charset val="1"/>
    </font>
    <font>
      <sz val="9"/>
      <color rgb="FF595959"/>
      <name val="Arial"/>
      <family val="2"/>
      <charset val="1"/>
    </font>
    <font>
      <b/>
      <sz val="9"/>
      <color rgb="FF155724"/>
      <name val="Arial"/>
      <family val="2"/>
      <charset val="1"/>
    </font>
    <font>
      <b/>
      <sz val="9"/>
      <color rgb="FFC00000"/>
      <name val="Arial"/>
      <family val="2"/>
      <charset val="1"/>
    </font>
    <font>
      <i/>
      <sz val="8"/>
      <color rgb="FF808080"/>
      <name val="Arial"/>
      <family val="2"/>
      <charset val="1"/>
    </font>
    <font>
      <b/>
      <sz val="18"/>
      <color rgb="FFFFFFFF"/>
      <name val="Arial"/>
      <family val="2"/>
      <charset val="1"/>
    </font>
    <font>
      <b/>
      <sz val="11"/>
      <color rgb="FF1F3864"/>
      <name val="Arial"/>
      <family val="2"/>
      <charset val="1"/>
    </font>
    <font>
      <b/>
      <sz val="10"/>
      <color rgb="FFFFFFFF"/>
      <name val="Arial"/>
      <family val="2"/>
      <charset val="1"/>
    </font>
    <font>
      <i/>
      <sz val="9"/>
      <color rgb="FF1F3864"/>
      <name val="Arial"/>
      <family val="2"/>
      <charset val="1"/>
    </font>
    <font>
      <b/>
      <sz val="9"/>
      <color rgb="FFFFFFFF"/>
      <name val="Arial"/>
      <family val="2"/>
      <charset val="1"/>
    </font>
    <font>
      <sz val="9"/>
      <color rgb="FF000000"/>
      <name val="Arial"/>
      <family val="2"/>
      <charset val="1"/>
    </font>
    <font>
      <b/>
      <sz val="9"/>
      <name val="Arial"/>
      <family val="2"/>
      <charset val="1"/>
    </font>
    <font>
      <b/>
      <sz val="12"/>
      <color rgb="FFFFFFFF"/>
      <name val="Arial"/>
      <family val="2"/>
      <charset val="1"/>
    </font>
    <font>
      <b/>
      <sz val="11"/>
      <color rgb="FFFF0000"/>
      <name val="Calibri"/>
      <family val="2"/>
      <charset val="1"/>
    </font>
    <font>
      <b/>
      <sz val="9"/>
      <color rgb="FFFFFFFF"/>
      <name val="Arial"/>
      <family val="2"/>
    </font>
    <font>
      <sz val="9"/>
      <color rgb="FF1F3864"/>
      <name val="Arial"/>
      <family val="2"/>
      <charset val="1"/>
    </font>
    <font>
      <sz val="9"/>
      <name val="Arial"/>
      <family val="2"/>
      <charset val="1"/>
    </font>
    <font>
      <i/>
      <sz val="9"/>
      <color rgb="FF1A3A5C"/>
      <name val="Arial"/>
      <family val="2"/>
    </font>
    <font>
      <b/>
      <sz val="12"/>
      <color rgb="FFFF0000"/>
      <name val="Calibri"/>
      <family val="2"/>
      <charset val="1"/>
    </font>
    <font>
      <b/>
      <sz val="14"/>
      <color rgb="FFFF0000"/>
      <name val="Calibri"/>
      <family val="2"/>
      <charset val="1"/>
    </font>
    <font>
      <b/>
      <sz val="14"/>
      <color theme="1"/>
      <name val="Calibri"/>
      <family val="2"/>
      <charset val="1"/>
    </font>
    <font>
      <b/>
      <sz val="11"/>
      <color theme="1"/>
      <name val="Calibri"/>
      <family val="2"/>
      <charset val="1"/>
    </font>
    <font>
      <sz val="11"/>
      <color theme="1"/>
      <name val="Calibri"/>
      <family val="2"/>
      <charset val="1"/>
    </font>
    <font>
      <b/>
      <sz val="9"/>
      <color rgb="FF1F3864"/>
      <name val="Arial"/>
      <family val="2"/>
    </font>
    <font>
      <b/>
      <i/>
      <sz val="9"/>
      <color rgb="FF1A3A5C"/>
      <name val="Arial"/>
      <family val="2"/>
    </font>
    <font>
      <sz val="12"/>
      <color rgb="FF1F3864"/>
      <name val="Arial"/>
      <family val="2"/>
      <charset val="1"/>
    </font>
    <font>
      <sz val="12"/>
      <color rgb="FF000000"/>
      <name val="Arial"/>
      <family val="2"/>
      <charset val="1"/>
    </font>
    <font>
      <i/>
      <sz val="12"/>
      <color rgb="FF1A3A5C"/>
      <name val="Arial"/>
      <family val="2"/>
    </font>
    <font>
      <sz val="12"/>
      <name val="Arial"/>
      <family val="2"/>
      <charset val="1"/>
    </font>
    <font>
      <sz val="12"/>
      <color theme="1"/>
      <name val="Calibri"/>
      <family val="2"/>
      <charset val="1"/>
    </font>
    <font>
      <sz val="48"/>
      <color theme="1"/>
      <name val="Calibri"/>
      <family val="2"/>
    </font>
    <font>
      <b/>
      <sz val="48"/>
      <color theme="1"/>
      <name val="Calibri"/>
      <family val="2"/>
    </font>
    <font>
      <sz val="8"/>
      <name val="Calibri"/>
      <family val="2"/>
      <charset val="1"/>
    </font>
    <font>
      <b/>
      <sz val="11"/>
      <name val="Calibri"/>
      <family val="2"/>
    </font>
    <font>
      <sz val="9"/>
      <color rgb="FFFFFF00"/>
      <name val="Arial"/>
      <family val="2"/>
      <charset val="1"/>
    </font>
    <font>
      <b/>
      <sz val="9"/>
      <name val="Arial"/>
      <family val="2"/>
    </font>
    <font>
      <sz val="9"/>
      <name val="Arial"/>
      <family val="2"/>
    </font>
  </fonts>
  <fills count="35">
    <fill>
      <patternFill patternType="none"/>
    </fill>
    <fill>
      <patternFill patternType="gray125"/>
    </fill>
    <fill>
      <patternFill patternType="solid">
        <fgColor rgb="FF1F3864"/>
        <bgColor rgb="FF1A3A5C"/>
      </patternFill>
    </fill>
    <fill>
      <patternFill patternType="solid">
        <fgColor rgb="FF2E75B6"/>
        <bgColor rgb="FF0066CC"/>
      </patternFill>
    </fill>
    <fill>
      <patternFill patternType="solid">
        <fgColor rgb="FFDEEAF1"/>
        <bgColor rgb="FFE2EFDA"/>
      </patternFill>
    </fill>
    <fill>
      <patternFill patternType="solid">
        <fgColor rgb="FFFFFF99"/>
        <bgColor rgb="FFFFEB9C"/>
      </patternFill>
    </fill>
    <fill>
      <patternFill patternType="solid">
        <fgColor rgb="FFFFF2CC"/>
        <bgColor rgb="FFFCE4D6"/>
      </patternFill>
    </fill>
    <fill>
      <patternFill patternType="solid">
        <fgColor rgb="FFF2F2F2"/>
        <bgColor rgb="FFE8F4FD"/>
      </patternFill>
    </fill>
    <fill>
      <patternFill patternType="solid">
        <fgColor rgb="FFE2EFDA"/>
        <bgColor rgb="FFDEEAF1"/>
      </patternFill>
    </fill>
    <fill>
      <patternFill patternType="solid">
        <fgColor rgb="FFFCE4D6"/>
        <bgColor rgb="FFFFF2CC"/>
      </patternFill>
    </fill>
    <fill>
      <patternFill patternType="solid">
        <fgColor rgb="FFFFFFFF"/>
        <bgColor rgb="FFF2F2F2"/>
      </patternFill>
    </fill>
    <fill>
      <patternFill patternType="solid">
        <fgColor rgb="FF70AD47"/>
        <bgColor rgb="FF339966"/>
      </patternFill>
    </fill>
    <fill>
      <patternFill patternType="solid">
        <fgColor rgb="FFC6EFCE"/>
        <bgColor rgb="FFE2EFDA"/>
      </patternFill>
    </fill>
    <fill>
      <patternFill patternType="solid">
        <fgColor rgb="FFFFC7CE"/>
        <bgColor rgb="FFFCE4D6"/>
      </patternFill>
    </fill>
    <fill>
      <patternFill patternType="solid">
        <fgColor rgb="FFFFEB9C"/>
        <bgColor rgb="FFFFFF99"/>
      </patternFill>
    </fill>
    <fill>
      <patternFill patternType="solid">
        <fgColor rgb="FFFF0000"/>
        <bgColor rgb="FFC00000"/>
      </patternFill>
    </fill>
    <fill>
      <patternFill patternType="solid">
        <fgColor rgb="FFBDD7EE"/>
        <bgColor rgb="FFD9D9D9"/>
      </patternFill>
    </fill>
    <fill>
      <patternFill patternType="solid">
        <fgColor rgb="FFD9D9D9"/>
        <bgColor rgb="FFDEEAF1"/>
      </patternFill>
    </fill>
    <fill>
      <patternFill patternType="solid">
        <fgColor rgb="FF1F4E79"/>
        <bgColor rgb="FF1F3864"/>
      </patternFill>
    </fill>
    <fill>
      <patternFill patternType="solid">
        <fgColor rgb="FFE8F4FD"/>
        <bgColor rgb="FFF2F2F2"/>
      </patternFill>
    </fill>
    <fill>
      <patternFill patternType="solid">
        <fgColor rgb="FF7B241C"/>
        <bgColor rgb="FF993366"/>
      </patternFill>
    </fill>
    <fill>
      <patternFill patternType="solid">
        <fgColor theme="5"/>
        <bgColor indexed="64"/>
      </patternFill>
    </fill>
    <fill>
      <patternFill patternType="solid">
        <fgColor theme="8" tint="0.79998168889431442"/>
        <bgColor indexed="64"/>
      </patternFill>
    </fill>
    <fill>
      <patternFill patternType="solid">
        <fgColor theme="5" tint="0.79998168889431442"/>
        <bgColor rgb="FFE2EFDA"/>
      </patternFill>
    </fill>
    <fill>
      <patternFill patternType="solid">
        <fgColor theme="6" tint="0.79998168889431442"/>
        <bgColor rgb="FFFCE4D6"/>
      </patternFill>
    </fill>
    <fill>
      <patternFill patternType="solid">
        <fgColor theme="6" tint="0.79998168889431442"/>
        <bgColor indexed="64"/>
      </patternFill>
    </fill>
    <fill>
      <patternFill patternType="solid">
        <fgColor theme="6" tint="0.79998168889431442"/>
        <bgColor rgb="FFE2EFDA"/>
      </patternFill>
    </fill>
    <fill>
      <patternFill patternType="solid">
        <fgColor theme="3" tint="0.59999389629810485"/>
        <bgColor indexed="64"/>
      </patternFill>
    </fill>
    <fill>
      <patternFill patternType="solid">
        <fgColor rgb="FFFF0000"/>
        <bgColor rgb="FFF2F2F2"/>
      </patternFill>
    </fill>
    <fill>
      <patternFill patternType="solid">
        <fgColor rgb="FFFF0000"/>
        <bgColor indexed="64"/>
      </patternFill>
    </fill>
    <fill>
      <patternFill patternType="solid">
        <fgColor theme="6" tint="0.79998168889431442"/>
        <bgColor rgb="FFF2F2F2"/>
      </patternFill>
    </fill>
    <fill>
      <gradientFill degree="45">
        <stop position="0">
          <color theme="0"/>
        </stop>
        <stop position="1">
          <color theme="4"/>
        </stop>
      </gradientFill>
    </fill>
    <fill>
      <patternFill patternType="solid">
        <fgColor rgb="FFABEBC6"/>
      </patternFill>
    </fill>
    <fill>
      <patternFill patternType="solid">
        <fgColor rgb="FFFAD7A0"/>
      </patternFill>
    </fill>
    <fill>
      <patternFill patternType="solid">
        <fgColor rgb="FFFFFF00"/>
        <bgColor rgb="FFFCE4D6"/>
      </patternFill>
    </fill>
  </fills>
  <borders count="16">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DD7EE"/>
      </left>
      <right style="thin">
        <color rgb="FFBDD7EE"/>
      </right>
      <top style="thin">
        <color rgb="FFBDD7EE"/>
      </top>
      <bottom style="thin">
        <color rgb="FFBDD7EE"/>
      </bottom>
      <diagonal/>
    </border>
    <border>
      <left style="thin">
        <color auto="1"/>
      </left>
      <right/>
      <top/>
      <bottom/>
      <diagonal/>
    </border>
    <border>
      <left style="thin">
        <color auto="1"/>
      </left>
      <right style="thin">
        <color auto="1"/>
      </right>
      <top/>
      <bottom style="thin">
        <color auto="1"/>
      </bottom>
      <diagonal/>
    </border>
    <border>
      <left style="thin">
        <color rgb="FFBFBFBF"/>
      </left>
      <right style="thin">
        <color rgb="FFBFBFBF"/>
      </right>
      <top style="thin">
        <color rgb="FFBFBFBF"/>
      </top>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BFBFBF"/>
      </right>
      <top style="thin">
        <color rgb="FFBFBFBF"/>
      </top>
      <bottom style="thin">
        <color rgb="FFBFBFBF"/>
      </bottom>
      <diagonal/>
    </border>
    <border>
      <left style="thin">
        <color auto="1"/>
      </left>
      <right/>
      <top style="thin">
        <color auto="1"/>
      </top>
      <bottom/>
      <diagonal/>
    </border>
    <border>
      <left style="thin">
        <color rgb="FF000000"/>
      </left>
      <right style="thin">
        <color rgb="FF000000"/>
      </right>
      <top style="thin">
        <color rgb="FF000000"/>
      </top>
      <bottom/>
      <diagonal/>
    </border>
    <border>
      <left style="thin">
        <color auto="1"/>
      </left>
      <right style="thin">
        <color auto="1"/>
      </right>
      <top style="thin">
        <color auto="1"/>
      </top>
      <bottom/>
      <diagonal/>
    </border>
    <border>
      <left style="thin">
        <color rgb="FFAAAAAA"/>
      </left>
      <right style="thin">
        <color rgb="FFAAAAAA"/>
      </right>
      <top style="thin">
        <color rgb="FFAAAAAA"/>
      </top>
      <bottom style="thin">
        <color rgb="FFAAAAAA"/>
      </bottom>
      <diagonal/>
    </border>
  </borders>
  <cellStyleXfs count="2">
    <xf numFmtId="0" fontId="0" fillId="0" borderId="0"/>
    <xf numFmtId="0" fontId="28" fillId="0" borderId="0"/>
  </cellStyleXfs>
  <cellXfs count="194">
    <xf numFmtId="0" fontId="0" fillId="0" borderId="0" xfId="0"/>
    <xf numFmtId="0" fontId="0" fillId="2" borderId="0" xfId="0" applyFill="1"/>
    <xf numFmtId="0" fontId="0" fillId="3" borderId="0" xfId="0" applyFill="1"/>
    <xf numFmtId="0" fontId="5" fillId="4" borderId="2" xfId="0" applyFont="1" applyFill="1" applyBorder="1" applyAlignment="1">
      <alignment horizontal="left" vertical="center" indent="1"/>
    </xf>
    <xf numFmtId="0" fontId="0" fillId="6" borderId="2" xfId="0" applyFill="1" applyBorder="1"/>
    <xf numFmtId="0" fontId="0" fillId="4" borderId="2" xfId="0" applyFill="1" applyBorder="1"/>
    <xf numFmtId="0" fontId="0" fillId="8" borderId="2" xfId="0" applyFill="1" applyBorder="1"/>
    <xf numFmtId="0" fontId="0" fillId="9" borderId="2" xfId="0" applyFill="1" applyBorder="1"/>
    <xf numFmtId="0" fontId="0" fillId="10" borderId="2" xfId="0" applyFill="1" applyBorder="1"/>
    <xf numFmtId="0" fontId="15" fillId="2" borderId="2" xfId="0" applyFont="1" applyFill="1" applyBorder="1" applyAlignment="1">
      <alignment horizontal="center" vertical="center" wrapText="1"/>
    </xf>
    <xf numFmtId="0" fontId="5" fillId="4" borderId="2" xfId="0" applyFont="1" applyFill="1" applyBorder="1" applyAlignment="1">
      <alignment horizontal="left" vertical="center" wrapText="1" indent="1"/>
    </xf>
    <xf numFmtId="0" fontId="16" fillId="7" borderId="2" xfId="0" applyFont="1" applyFill="1" applyBorder="1" applyAlignment="1">
      <alignment horizontal="center" vertical="center" wrapText="1"/>
    </xf>
    <xf numFmtId="164" fontId="6" fillId="10" borderId="2" xfId="0" applyNumberFormat="1" applyFont="1" applyFill="1" applyBorder="1" applyAlignment="1">
      <alignment horizontal="center" vertical="center" wrapText="1"/>
    </xf>
    <xf numFmtId="0" fontId="6" fillId="10" borderId="2" xfId="0" applyFont="1" applyFill="1" applyBorder="1" applyAlignment="1">
      <alignment horizontal="center" vertical="center" wrapText="1"/>
    </xf>
    <xf numFmtId="0" fontId="16" fillId="12" borderId="2" xfId="0" applyFont="1" applyFill="1" applyBorder="1" applyAlignment="1">
      <alignment horizontal="center" vertical="center" wrapText="1"/>
    </xf>
    <xf numFmtId="0" fontId="16" fillId="7" borderId="2" xfId="0" applyFont="1" applyFill="1" applyBorder="1" applyAlignment="1">
      <alignment horizontal="left" vertical="center" wrapText="1" indent="1"/>
    </xf>
    <xf numFmtId="0" fontId="16" fillId="10" borderId="2" xfId="0" applyFont="1" applyFill="1" applyBorder="1" applyAlignment="1">
      <alignment horizontal="center" vertical="center" wrapText="1"/>
    </xf>
    <xf numFmtId="0" fontId="16" fillId="13" borderId="2" xfId="0" applyFont="1" applyFill="1" applyBorder="1" applyAlignment="1">
      <alignment horizontal="center" vertical="center" wrapText="1"/>
    </xf>
    <xf numFmtId="0" fontId="16" fillId="10" borderId="2" xfId="0" applyFont="1" applyFill="1" applyBorder="1" applyAlignment="1">
      <alignment horizontal="left" vertical="center" wrapText="1" indent="1"/>
    </xf>
    <xf numFmtId="0" fontId="16" fillId="14" borderId="2" xfId="0" applyFont="1" applyFill="1" applyBorder="1" applyAlignment="1">
      <alignment horizontal="center" vertical="center" wrapText="1"/>
    </xf>
    <xf numFmtId="0" fontId="15" fillId="2" borderId="2" xfId="0" applyFont="1" applyFill="1" applyBorder="1" applyAlignment="1">
      <alignment horizontal="left" vertical="center" wrapText="1" indent="1"/>
    </xf>
    <xf numFmtId="164" fontId="15" fillId="2" borderId="2" xfId="0" applyNumberFormat="1" applyFont="1" applyFill="1" applyBorder="1" applyAlignment="1">
      <alignment horizontal="center" vertical="center" wrapText="1"/>
    </xf>
    <xf numFmtId="0" fontId="13" fillId="2" borderId="4" xfId="0" applyFont="1" applyFill="1" applyBorder="1" applyAlignment="1">
      <alignment horizontal="center" vertical="center" wrapText="1"/>
    </xf>
    <xf numFmtId="0" fontId="16" fillId="16" borderId="4" xfId="0" applyFont="1" applyFill="1" applyBorder="1" applyAlignment="1">
      <alignment horizontal="left" vertical="center"/>
    </xf>
    <xf numFmtId="0" fontId="16" fillId="16" borderId="4" xfId="0" applyFont="1" applyFill="1" applyBorder="1" applyAlignment="1">
      <alignment horizontal="center" vertical="center"/>
    </xf>
    <xf numFmtId="164" fontId="16" fillId="16" borderId="4" xfId="0" applyNumberFormat="1" applyFont="1" applyFill="1" applyBorder="1" applyAlignment="1">
      <alignment horizontal="center" vertical="center"/>
    </xf>
    <xf numFmtId="0" fontId="16" fillId="16" borderId="4" xfId="0" applyFont="1" applyFill="1" applyBorder="1" applyAlignment="1">
      <alignment horizontal="center" vertical="center" wrapText="1"/>
    </xf>
    <xf numFmtId="0" fontId="16" fillId="10" borderId="4" xfId="0" applyFont="1" applyFill="1" applyBorder="1" applyAlignment="1">
      <alignment horizontal="left" vertical="center"/>
    </xf>
    <xf numFmtId="0" fontId="16" fillId="10" borderId="4" xfId="0" applyFont="1" applyFill="1" applyBorder="1" applyAlignment="1">
      <alignment horizontal="center" vertical="center"/>
    </xf>
    <xf numFmtId="164" fontId="16" fillId="10" borderId="4" xfId="0" applyNumberFormat="1" applyFont="1" applyFill="1" applyBorder="1" applyAlignment="1">
      <alignment horizontal="center" vertical="center"/>
    </xf>
    <xf numFmtId="0" fontId="16" fillId="10" borderId="4" xfId="0" applyFont="1" applyFill="1" applyBorder="1" applyAlignment="1">
      <alignment horizontal="center" vertical="center" wrapText="1"/>
    </xf>
    <xf numFmtId="0" fontId="6" fillId="17" borderId="4" xfId="0" applyFont="1" applyFill="1" applyBorder="1" applyAlignment="1">
      <alignment horizontal="left" vertical="center"/>
    </xf>
    <xf numFmtId="0" fontId="6" fillId="17" borderId="4" xfId="0" applyFont="1" applyFill="1" applyBorder="1" applyAlignment="1">
      <alignment horizontal="center" vertical="center"/>
    </xf>
    <xf numFmtId="164" fontId="6" fillId="17" borderId="4" xfId="0" applyNumberFormat="1" applyFont="1" applyFill="1" applyBorder="1" applyAlignment="1">
      <alignment horizontal="center" vertical="center"/>
    </xf>
    <xf numFmtId="0" fontId="16" fillId="12" borderId="4" xfId="0" applyFont="1" applyFill="1" applyBorder="1" applyAlignment="1">
      <alignment horizontal="center" vertical="center"/>
    </xf>
    <xf numFmtId="0" fontId="16" fillId="13" borderId="4" xfId="0" applyFont="1" applyFill="1" applyBorder="1" applyAlignment="1">
      <alignment horizontal="center" vertical="center"/>
    </xf>
    <xf numFmtId="0" fontId="16" fillId="16" borderId="4" xfId="0" applyFont="1" applyFill="1" applyBorder="1" applyAlignment="1">
      <alignment horizontal="left" vertical="center" wrapText="1"/>
    </xf>
    <xf numFmtId="0" fontId="16" fillId="10" borderId="4" xfId="0" applyFont="1" applyFill="1" applyBorder="1" applyAlignment="1">
      <alignment horizontal="left" vertical="center" wrapText="1"/>
    </xf>
    <xf numFmtId="0" fontId="16" fillId="14" borderId="4" xfId="0" applyFont="1" applyFill="1" applyBorder="1" applyAlignment="1">
      <alignment horizontal="center" vertical="center"/>
    </xf>
    <xf numFmtId="0" fontId="6" fillId="16" borderId="4" xfId="0" applyFont="1" applyFill="1" applyBorder="1" applyAlignment="1">
      <alignment horizontal="left" vertical="center"/>
    </xf>
    <xf numFmtId="0" fontId="6" fillId="10" borderId="4" xfId="0" applyFont="1" applyFill="1" applyBorder="1" applyAlignment="1">
      <alignment horizontal="left" vertical="center"/>
    </xf>
    <xf numFmtId="0" fontId="19" fillId="0" borderId="0" xfId="0" applyFont="1"/>
    <xf numFmtId="0" fontId="20" fillId="18" borderId="0" xfId="0" applyFont="1" applyFill="1" applyAlignment="1">
      <alignment vertical="top" wrapText="1"/>
    </xf>
    <xf numFmtId="0" fontId="21" fillId="4" borderId="2" xfId="0" applyFont="1" applyFill="1" applyBorder="1" applyAlignment="1">
      <alignment horizontal="center" vertical="center" wrapText="1"/>
    </xf>
    <xf numFmtId="0" fontId="21" fillId="4" borderId="2" xfId="0" applyFont="1" applyFill="1" applyBorder="1" applyAlignment="1">
      <alignment horizontal="left" vertical="center" wrapText="1"/>
    </xf>
    <xf numFmtId="0" fontId="22" fillId="6" borderId="2" xfId="0" applyFont="1" applyFill="1" applyBorder="1" applyAlignment="1" applyProtection="1">
      <alignment horizontal="left" vertical="center" wrapText="1"/>
      <protection locked="0"/>
    </xf>
    <xf numFmtId="0" fontId="23" fillId="19" borderId="5" xfId="0" applyFont="1" applyFill="1" applyBorder="1" applyAlignment="1">
      <alignment vertical="top" wrapText="1"/>
    </xf>
    <xf numFmtId="0" fontId="21" fillId="4" borderId="0" xfId="0" applyFont="1" applyFill="1" applyAlignment="1">
      <alignment horizontal="center" vertical="center" wrapText="1"/>
    </xf>
    <xf numFmtId="0" fontId="21" fillId="4" borderId="0" xfId="0" applyFont="1" applyFill="1" applyAlignment="1">
      <alignment horizontal="left" vertical="center" wrapText="1"/>
    </xf>
    <xf numFmtId="0" fontId="22" fillId="6" borderId="0" xfId="0" applyFont="1" applyFill="1" applyAlignment="1" applyProtection="1">
      <alignment horizontal="left" vertical="center" wrapText="1"/>
      <protection locked="0"/>
    </xf>
    <xf numFmtId="0" fontId="24" fillId="0" borderId="0" xfId="0" applyFont="1"/>
    <xf numFmtId="0" fontId="22" fillId="6" borderId="2" xfId="0" applyFont="1" applyFill="1" applyBorder="1" applyAlignment="1">
      <alignment horizontal="left" vertical="center" wrapText="1"/>
    </xf>
    <xf numFmtId="0" fontId="25" fillId="0" borderId="0" xfId="0" applyFont="1"/>
    <xf numFmtId="0" fontId="16" fillId="6" borderId="4" xfId="0" applyFont="1" applyFill="1" applyBorder="1" applyAlignment="1" applyProtection="1">
      <alignment horizontal="center" vertical="center"/>
      <protection locked="0"/>
    </xf>
    <xf numFmtId="0" fontId="16" fillId="6" borderId="4" xfId="0" applyFont="1" applyFill="1" applyBorder="1" applyAlignment="1" applyProtection="1">
      <alignment horizontal="left" vertical="center"/>
      <protection locked="0"/>
    </xf>
    <xf numFmtId="0" fontId="16" fillId="6" borderId="4" xfId="0" applyFont="1" applyFill="1" applyBorder="1" applyAlignment="1" applyProtection="1">
      <alignment horizontal="left" vertical="center" wrapText="1"/>
      <protection locked="0"/>
    </xf>
    <xf numFmtId="0" fontId="22" fillId="6" borderId="2" xfId="0" applyFont="1" applyFill="1" applyBorder="1" applyAlignment="1" applyProtection="1">
      <alignment horizontal="center" vertical="center" wrapText="1"/>
      <protection locked="0"/>
    </xf>
    <xf numFmtId="0" fontId="27" fillId="0" borderId="0" xfId="0" applyFont="1"/>
    <xf numFmtId="0" fontId="5" fillId="4" borderId="2" xfId="0" applyFont="1" applyFill="1" applyBorder="1" applyAlignment="1">
      <alignment horizontal="left" vertical="center" wrapText="1"/>
    </xf>
    <xf numFmtId="0" fontId="17" fillId="6" borderId="2" xfId="0" applyFont="1" applyFill="1" applyBorder="1" applyAlignment="1" applyProtection="1">
      <alignment horizontal="center" vertical="center" wrapText="1"/>
      <protection locked="0"/>
    </xf>
    <xf numFmtId="0" fontId="22" fillId="6" borderId="2" xfId="0" applyFont="1" applyFill="1" applyBorder="1" applyAlignment="1" applyProtection="1">
      <alignment horizontal="left" vertical="center" wrapText="1"/>
      <protection locked="0"/>
      <extLst>
        <ext xmlns:xfpb="http://schemas.microsoft.com/office/spreadsheetml/2022/featurepropertybag" uri="{C7286773-470A-42A8-94C5-96B5CB345126}">
          <xfpb:xfComplement i="0"/>
        </ext>
      </extLst>
    </xf>
    <xf numFmtId="0" fontId="20" fillId="18" borderId="0" xfId="0" applyFont="1" applyFill="1" applyAlignment="1">
      <alignment horizontal="center" vertical="center" wrapText="1"/>
    </xf>
    <xf numFmtId="0" fontId="15" fillId="2" borderId="2" xfId="0" applyFont="1" applyFill="1" applyBorder="1" applyAlignment="1">
      <alignment horizontal="left" vertical="center" wrapText="1"/>
    </xf>
    <xf numFmtId="0" fontId="20" fillId="18" borderId="0" xfId="0" applyFont="1" applyFill="1" applyAlignment="1">
      <alignment horizontal="left" vertical="center" wrapText="1"/>
    </xf>
    <xf numFmtId="0" fontId="21" fillId="4" borderId="7" xfId="0" applyFont="1" applyFill="1" applyBorder="1" applyAlignment="1">
      <alignment horizontal="left" vertical="center" wrapText="1"/>
    </xf>
    <xf numFmtId="0" fontId="22" fillId="6" borderId="7" xfId="0" applyFont="1" applyFill="1" applyBorder="1" applyAlignment="1" applyProtection="1">
      <alignment horizontal="left" vertical="center" wrapText="1"/>
      <protection locked="0"/>
    </xf>
    <xf numFmtId="0" fontId="20" fillId="18" borderId="2" xfId="0" applyFont="1" applyFill="1" applyBorder="1" applyAlignment="1">
      <alignment vertical="top" wrapText="1"/>
    </xf>
    <xf numFmtId="0" fontId="23" fillId="19" borderId="2" xfId="0" applyFont="1" applyFill="1" applyBorder="1" applyAlignment="1">
      <alignment vertical="top" wrapText="1"/>
    </xf>
    <xf numFmtId="0" fontId="21" fillId="21" borderId="2" xfId="0" applyFont="1" applyFill="1" applyBorder="1" applyAlignment="1">
      <alignment horizontal="left" vertical="center" wrapText="1"/>
    </xf>
    <xf numFmtId="0" fontId="23" fillId="21" borderId="5" xfId="0" applyFont="1" applyFill="1" applyBorder="1" applyAlignment="1">
      <alignment vertical="top" wrapText="1"/>
    </xf>
    <xf numFmtId="0" fontId="0" fillId="21" borderId="0" xfId="0" applyFill="1"/>
    <xf numFmtId="0" fontId="21" fillId="21" borderId="2" xfId="0" applyFont="1" applyFill="1" applyBorder="1" applyAlignment="1">
      <alignment horizontal="center" vertical="center" wrapText="1"/>
    </xf>
    <xf numFmtId="0" fontId="16" fillId="21" borderId="4" xfId="0" applyFont="1" applyFill="1" applyBorder="1" applyAlignment="1" applyProtection="1">
      <alignment horizontal="center" vertical="center"/>
      <protection locked="0"/>
    </xf>
    <xf numFmtId="0" fontId="16" fillId="21" borderId="4" xfId="0" applyFont="1" applyFill="1" applyBorder="1" applyAlignment="1" applyProtection="1">
      <alignment horizontal="left" vertical="center"/>
      <protection locked="0"/>
    </xf>
    <xf numFmtId="0" fontId="16" fillId="21" borderId="4" xfId="0" applyFont="1" applyFill="1" applyBorder="1" applyAlignment="1" applyProtection="1">
      <alignment horizontal="left" vertical="center" wrapText="1"/>
      <protection locked="0"/>
    </xf>
    <xf numFmtId="0" fontId="22" fillId="0" borderId="2" xfId="0" applyFont="1" applyBorder="1" applyAlignment="1" applyProtection="1">
      <alignment horizontal="left" vertical="center" wrapText="1"/>
      <protection locked="0"/>
    </xf>
    <xf numFmtId="10" fontId="21" fillId="4" borderId="2" xfId="0" applyNumberFormat="1" applyFont="1" applyFill="1" applyBorder="1" applyAlignment="1">
      <alignment horizontal="center" vertical="center" wrapText="1"/>
    </xf>
    <xf numFmtId="0" fontId="21" fillId="22" borderId="2" xfId="0" applyFont="1" applyFill="1" applyBorder="1" applyAlignment="1">
      <alignment horizontal="center" vertical="center" wrapText="1"/>
    </xf>
    <xf numFmtId="0" fontId="21" fillId="22" borderId="2" xfId="0" applyFont="1" applyFill="1" applyBorder="1" applyAlignment="1">
      <alignment horizontal="left" vertical="center" wrapText="1"/>
    </xf>
    <xf numFmtId="0" fontId="22" fillId="0" borderId="2" xfId="0" applyFont="1" applyBorder="1" applyAlignment="1" applyProtection="1">
      <alignment horizontal="center" vertical="center" wrapText="1"/>
      <protection locked="0"/>
    </xf>
    <xf numFmtId="0" fontId="30" fillId="19" borderId="5" xfId="0" applyFont="1" applyFill="1" applyBorder="1" applyAlignment="1">
      <alignment vertical="top" wrapText="1"/>
    </xf>
    <xf numFmtId="0" fontId="0" fillId="0" borderId="0" xfId="0" applyAlignment="1">
      <alignment horizontal="left"/>
    </xf>
    <xf numFmtId="0" fontId="31" fillId="4" borderId="2" xfId="0" applyFont="1" applyFill="1" applyBorder="1" applyAlignment="1">
      <alignment horizontal="left" vertical="center" wrapText="1"/>
    </xf>
    <xf numFmtId="0" fontId="32" fillId="6" borderId="4" xfId="0" applyFont="1" applyFill="1" applyBorder="1" applyAlignment="1" applyProtection="1">
      <alignment horizontal="center" vertical="center"/>
      <protection locked="0"/>
    </xf>
    <xf numFmtId="0" fontId="31" fillId="4" borderId="2" xfId="0" applyFont="1" applyFill="1" applyBorder="1" applyAlignment="1">
      <alignment horizontal="center" vertical="center" wrapText="1"/>
    </xf>
    <xf numFmtId="0" fontId="32" fillId="6" borderId="4" xfId="0" applyFont="1" applyFill="1" applyBorder="1" applyAlignment="1" applyProtection="1">
      <alignment horizontal="left" vertical="center"/>
      <protection locked="0"/>
    </xf>
    <xf numFmtId="0" fontId="33" fillId="19" borderId="5" xfId="0" applyFont="1" applyFill="1" applyBorder="1" applyAlignment="1">
      <alignment horizontal="left" vertical="center" wrapText="1"/>
    </xf>
    <xf numFmtId="0" fontId="31" fillId="23" borderId="2" xfId="0" applyFont="1" applyFill="1" applyBorder="1" applyAlignment="1">
      <alignment horizontal="left" vertical="center" wrapText="1"/>
    </xf>
    <xf numFmtId="0" fontId="34" fillId="6" borderId="2" xfId="0" applyFont="1" applyFill="1" applyBorder="1" applyAlignment="1" applyProtection="1">
      <alignment horizontal="center" vertical="center" wrapText="1"/>
      <protection locked="0"/>
    </xf>
    <xf numFmtId="0" fontId="35" fillId="0" borderId="0" xfId="0" applyFont="1" applyAlignment="1">
      <alignment horizontal="left" vertical="center"/>
    </xf>
    <xf numFmtId="0" fontId="33" fillId="19" borderId="0" xfId="0" applyFont="1" applyFill="1" applyAlignment="1">
      <alignment horizontal="left" vertical="center" wrapText="1"/>
    </xf>
    <xf numFmtId="0" fontId="32" fillId="6" borderId="3" xfId="0" applyFont="1" applyFill="1" applyBorder="1" applyAlignment="1" applyProtection="1">
      <alignment horizontal="center" vertical="center"/>
      <protection locked="0"/>
    </xf>
    <xf numFmtId="0" fontId="32" fillId="6" borderId="2" xfId="0" applyFont="1" applyFill="1" applyBorder="1" applyAlignment="1" applyProtection="1">
      <alignment horizontal="center" vertical="center"/>
      <protection locked="0"/>
    </xf>
    <xf numFmtId="0" fontId="32" fillId="6" borderId="8" xfId="0" applyFont="1" applyFill="1" applyBorder="1" applyAlignment="1" applyProtection="1">
      <alignment horizontal="center" vertical="center"/>
      <protection locked="0"/>
    </xf>
    <xf numFmtId="0" fontId="32" fillId="24" borderId="2" xfId="0" applyFont="1" applyFill="1" applyBorder="1" applyAlignment="1" applyProtection="1">
      <alignment horizontal="center" vertical="center"/>
      <protection locked="0"/>
    </xf>
    <xf numFmtId="0" fontId="0" fillId="25" borderId="0" xfId="0" applyFill="1"/>
    <xf numFmtId="0" fontId="31" fillId="26" borderId="2" xfId="0" applyFont="1" applyFill="1" applyBorder="1" applyAlignment="1">
      <alignment horizontal="left" vertical="center" wrapText="1"/>
    </xf>
    <xf numFmtId="0" fontId="15" fillId="2" borderId="1" xfId="0" applyFont="1" applyFill="1" applyBorder="1" applyAlignment="1">
      <alignment horizontal="center" vertical="center" wrapText="1"/>
    </xf>
    <xf numFmtId="0" fontId="22" fillId="6" borderId="1" xfId="0" applyFont="1" applyFill="1" applyBorder="1" applyAlignment="1" applyProtection="1">
      <alignment horizontal="center" vertical="center" wrapText="1"/>
      <protection locked="0"/>
    </xf>
    <xf numFmtId="0" fontId="15" fillId="2" borderId="9" xfId="0" applyFont="1" applyFill="1" applyBorder="1" applyAlignment="1">
      <alignment horizontal="center" vertical="center" wrapText="1"/>
    </xf>
    <xf numFmtId="0" fontId="31" fillId="4" borderId="9" xfId="0" applyFont="1" applyFill="1" applyBorder="1" applyAlignment="1">
      <alignment horizontal="center" vertical="center" wrapText="1"/>
    </xf>
    <xf numFmtId="0" fontId="22" fillId="6" borderId="9" xfId="0" applyFont="1" applyFill="1" applyBorder="1" applyAlignment="1" applyProtection="1">
      <alignment horizontal="center" vertical="center" wrapText="1"/>
      <protection locked="0"/>
    </xf>
    <xf numFmtId="0" fontId="32" fillId="6" borderId="7" xfId="0" applyFont="1" applyFill="1" applyBorder="1" applyAlignment="1" applyProtection="1">
      <alignment horizontal="center" vertical="center"/>
      <protection locked="0"/>
    </xf>
    <xf numFmtId="0" fontId="0" fillId="0" borderId="2" xfId="0" applyBorder="1"/>
    <xf numFmtId="0" fontId="31" fillId="26" borderId="2" xfId="0" applyFont="1" applyFill="1" applyBorder="1" applyAlignment="1">
      <alignment horizontal="center" vertical="center" wrapText="1"/>
    </xf>
    <xf numFmtId="0" fontId="32" fillId="24" borderId="3" xfId="0" applyFont="1" applyFill="1" applyBorder="1" applyAlignment="1" applyProtection="1">
      <alignment horizontal="center" vertical="center"/>
      <protection locked="0"/>
    </xf>
    <xf numFmtId="0" fontId="32" fillId="25" borderId="2" xfId="0" applyFont="1" applyFill="1" applyBorder="1" applyAlignment="1" applyProtection="1">
      <alignment horizontal="center" vertical="center"/>
      <protection locked="0"/>
    </xf>
    <xf numFmtId="0" fontId="32" fillId="24" borderId="4" xfId="0" applyFont="1" applyFill="1" applyBorder="1" applyAlignment="1" applyProtection="1">
      <alignment horizontal="center" vertical="center"/>
      <protection locked="0"/>
    </xf>
    <xf numFmtId="2" fontId="32" fillId="24" borderId="4" xfId="0" applyNumberFormat="1" applyFont="1" applyFill="1" applyBorder="1" applyAlignment="1" applyProtection="1">
      <alignment horizontal="center" vertical="center"/>
      <protection locked="0"/>
    </xf>
    <xf numFmtId="0" fontId="32" fillId="24" borderId="0" xfId="0" applyFont="1" applyFill="1" applyAlignment="1" applyProtection="1">
      <alignment horizontal="center" vertical="center"/>
      <protection locked="0"/>
    </xf>
    <xf numFmtId="0" fontId="33" fillId="28" borderId="5" xfId="0" applyFont="1" applyFill="1" applyBorder="1" applyAlignment="1">
      <alignment horizontal="left" vertical="center" wrapText="1"/>
    </xf>
    <xf numFmtId="0" fontId="0" fillId="29" borderId="0" xfId="0" applyFill="1"/>
    <xf numFmtId="0" fontId="33" fillId="30" borderId="5" xfId="0" applyFont="1" applyFill="1" applyBorder="1" applyAlignment="1">
      <alignment horizontal="left" vertical="center" wrapText="1"/>
    </xf>
    <xf numFmtId="0" fontId="21" fillId="26" borderId="2" xfId="0" applyFont="1" applyFill="1" applyBorder="1" applyAlignment="1">
      <alignment horizontal="left" vertical="center" wrapText="1"/>
    </xf>
    <xf numFmtId="0" fontId="31" fillId="0" borderId="0" xfId="0" applyFont="1" applyAlignment="1">
      <alignment horizontal="left" vertical="center" wrapText="1"/>
    </xf>
    <xf numFmtId="0" fontId="32" fillId="0" borderId="0" xfId="0" applyFont="1" applyAlignment="1" applyProtection="1">
      <alignment horizontal="center" vertical="center"/>
      <protection locked="0"/>
    </xf>
    <xf numFmtId="0" fontId="31" fillId="0" borderId="0" xfId="0" applyFont="1" applyAlignment="1">
      <alignment horizontal="center" vertical="center" wrapText="1"/>
    </xf>
    <xf numFmtId="0" fontId="33" fillId="0" borderId="0" xfId="0" applyFont="1" applyAlignment="1">
      <alignment horizontal="left" vertical="center" wrapText="1"/>
    </xf>
    <xf numFmtId="2" fontId="32" fillId="0" borderId="0" xfId="0" applyNumberFormat="1" applyFont="1" applyAlignment="1" applyProtection="1">
      <alignment horizontal="center" vertical="center"/>
      <protection locked="0"/>
    </xf>
    <xf numFmtId="0" fontId="32" fillId="24" borderId="4" xfId="0" applyFont="1" applyFill="1" applyBorder="1" applyAlignment="1" applyProtection="1">
      <alignment horizontal="left" vertical="center"/>
      <protection locked="0"/>
    </xf>
    <xf numFmtId="0" fontId="33" fillId="30" borderId="0" xfId="0" applyFont="1" applyFill="1" applyAlignment="1">
      <alignment horizontal="left" vertical="center" wrapText="1"/>
    </xf>
    <xf numFmtId="0" fontId="31" fillId="0" borderId="2" xfId="0" applyFont="1" applyBorder="1" applyAlignment="1">
      <alignment horizontal="left" vertical="center" wrapText="1"/>
    </xf>
    <xf numFmtId="0" fontId="26" fillId="0" borderId="0" xfId="0" applyFont="1"/>
    <xf numFmtId="0" fontId="35" fillId="29" borderId="0" xfId="0" applyFont="1" applyFill="1" applyAlignment="1">
      <alignment horizontal="left" vertical="center"/>
    </xf>
    <xf numFmtId="0" fontId="22" fillId="29" borderId="2" xfId="0" applyFont="1" applyFill="1" applyBorder="1" applyAlignment="1" applyProtection="1">
      <alignment horizontal="center" vertical="center" wrapText="1"/>
      <protection locked="0"/>
    </xf>
    <xf numFmtId="0" fontId="22" fillId="24" borderId="2" xfId="0" applyFont="1" applyFill="1" applyBorder="1" applyAlignment="1" applyProtection="1">
      <alignment horizontal="center" vertical="center" wrapText="1"/>
      <protection locked="0"/>
    </xf>
    <xf numFmtId="0" fontId="22" fillId="24" borderId="2" xfId="0" applyFont="1" applyFill="1" applyBorder="1" applyAlignment="1" applyProtection="1">
      <alignment horizontal="left" vertical="center" wrapText="1"/>
      <protection locked="0"/>
    </xf>
    <xf numFmtId="0" fontId="23" fillId="30" borderId="5" xfId="0" applyFont="1" applyFill="1" applyBorder="1" applyAlignment="1">
      <alignment vertical="top" wrapText="1"/>
    </xf>
    <xf numFmtId="0" fontId="22" fillId="25" borderId="2" xfId="0" applyFont="1" applyFill="1" applyBorder="1" applyAlignment="1" applyProtection="1">
      <alignment horizontal="center" vertical="center" wrapText="1"/>
      <protection locked="0"/>
    </xf>
    <xf numFmtId="0" fontId="21" fillId="0" borderId="2" xfId="0" applyFont="1" applyBorder="1" applyAlignment="1">
      <alignment horizontal="left" vertical="center" wrapText="1"/>
    </xf>
    <xf numFmtId="0" fontId="23" fillId="0" borderId="5" xfId="0" applyFont="1" applyBorder="1" applyAlignment="1">
      <alignment vertical="top" wrapText="1"/>
    </xf>
    <xf numFmtId="10" fontId="16" fillId="6" borderId="4" xfId="0" applyNumberFormat="1" applyFont="1" applyFill="1" applyBorder="1" applyAlignment="1" applyProtection="1">
      <alignment horizontal="center" vertical="center"/>
      <protection locked="0"/>
    </xf>
    <xf numFmtId="0" fontId="21" fillId="25" borderId="0" xfId="0" applyFont="1" applyFill="1" applyAlignment="1">
      <alignment horizontal="center" vertical="center" wrapText="1"/>
    </xf>
    <xf numFmtId="0" fontId="21" fillId="29" borderId="2" xfId="0" applyFont="1" applyFill="1" applyBorder="1" applyAlignment="1">
      <alignment horizontal="center" vertical="center" wrapText="1"/>
    </xf>
    <xf numFmtId="0" fontId="21" fillId="29" borderId="2" xfId="0" applyFont="1" applyFill="1" applyBorder="1" applyAlignment="1">
      <alignment horizontal="left" vertical="center" wrapText="1"/>
    </xf>
    <xf numFmtId="0" fontId="16" fillId="29" borderId="4" xfId="0" applyFont="1" applyFill="1" applyBorder="1" applyAlignment="1" applyProtection="1">
      <alignment horizontal="left" vertical="center"/>
      <protection locked="0"/>
    </xf>
    <xf numFmtId="0" fontId="23" fillId="29" borderId="5" xfId="0" applyFont="1" applyFill="1" applyBorder="1" applyAlignment="1">
      <alignment vertical="top" wrapText="1"/>
    </xf>
    <xf numFmtId="0" fontId="15" fillId="2" borderId="10" xfId="0" applyFont="1" applyFill="1" applyBorder="1" applyAlignment="1">
      <alignment horizontal="center" vertical="center" wrapText="1"/>
    </xf>
    <xf numFmtId="0" fontId="21" fillId="25" borderId="10" xfId="0" applyFont="1" applyFill="1" applyBorder="1" applyAlignment="1">
      <alignment horizontal="center" vertical="center" wrapText="1"/>
    </xf>
    <xf numFmtId="0" fontId="21" fillId="29" borderId="10" xfId="0" applyFont="1" applyFill="1" applyBorder="1" applyAlignment="1">
      <alignment horizontal="center" vertical="center" wrapText="1"/>
    </xf>
    <xf numFmtId="0" fontId="0" fillId="29" borderId="10" xfId="0" applyFill="1" applyBorder="1"/>
    <xf numFmtId="0" fontId="21" fillId="4" borderId="1" xfId="0" applyFont="1" applyFill="1" applyBorder="1" applyAlignment="1">
      <alignment horizontal="center" vertical="center" wrapText="1"/>
    </xf>
    <xf numFmtId="0" fontId="21" fillId="29" borderId="1" xfId="0" applyFont="1" applyFill="1" applyBorder="1" applyAlignment="1">
      <alignment horizontal="center" vertical="center" wrapText="1"/>
    </xf>
    <xf numFmtId="0" fontId="16" fillId="6" borderId="11" xfId="0" applyFont="1" applyFill="1" applyBorder="1" applyAlignment="1" applyProtection="1">
      <alignment horizontal="center" vertical="center"/>
      <protection locked="0"/>
    </xf>
    <xf numFmtId="0" fontId="16" fillId="29" borderId="11" xfId="0" applyFont="1" applyFill="1" applyBorder="1" applyAlignment="1" applyProtection="1">
      <alignment horizontal="center" vertical="center"/>
      <protection locked="0"/>
    </xf>
    <xf numFmtId="0" fontId="0" fillId="0" borderId="0" xfId="0" applyAlignment="1">
      <alignment vertical="center"/>
    </xf>
    <xf numFmtId="0" fontId="36" fillId="0" borderId="0" xfId="0" applyFont="1" applyAlignment="1">
      <alignment vertical="center"/>
    </xf>
    <xf numFmtId="0" fontId="0" fillId="0" borderId="0" xfId="0" applyAlignment="1">
      <alignment horizontal="center" vertical="center"/>
    </xf>
    <xf numFmtId="0" fontId="21" fillId="25" borderId="0" xfId="0" applyFont="1" applyFill="1" applyAlignment="1">
      <alignment horizontal="left" vertical="center" wrapText="1"/>
    </xf>
    <xf numFmtId="0" fontId="21" fillId="4" borderId="12" xfId="0" applyFont="1" applyFill="1" applyBorder="1" applyAlignment="1">
      <alignment horizontal="center" vertical="center" wrapText="1"/>
    </xf>
    <xf numFmtId="0" fontId="21" fillId="25" borderId="13" xfId="0" applyFont="1" applyFill="1" applyBorder="1" applyAlignment="1">
      <alignment horizontal="center" vertical="center" wrapText="1"/>
    </xf>
    <xf numFmtId="0" fontId="31" fillId="4" borderId="14" xfId="0" applyFont="1" applyFill="1" applyBorder="1" applyAlignment="1">
      <alignment horizontal="left" vertical="center" wrapText="1"/>
    </xf>
    <xf numFmtId="0" fontId="21" fillId="4" borderId="14" xfId="0" applyFont="1" applyFill="1" applyBorder="1" applyAlignment="1">
      <alignment horizontal="left" vertical="center" wrapText="1"/>
    </xf>
    <xf numFmtId="0" fontId="22" fillId="6" borderId="12" xfId="0" applyFont="1" applyFill="1" applyBorder="1" applyAlignment="1" applyProtection="1">
      <alignment horizontal="center" vertical="center" wrapText="1"/>
      <protection locked="0"/>
    </xf>
    <xf numFmtId="0" fontId="22" fillId="6" borderId="14" xfId="0" applyFont="1" applyFill="1" applyBorder="1" applyAlignment="1" applyProtection="1">
      <alignment horizontal="center" vertical="center" wrapText="1"/>
      <protection locked="0"/>
    </xf>
    <xf numFmtId="0" fontId="31" fillId="4" borderId="0" xfId="0" applyFont="1" applyFill="1" applyAlignment="1">
      <alignment horizontal="left" vertical="center" wrapText="1"/>
    </xf>
    <xf numFmtId="0" fontId="0" fillId="27" borderId="0" xfId="0" applyFill="1"/>
    <xf numFmtId="0" fontId="0" fillId="0" borderId="10" xfId="0" applyBorder="1"/>
    <xf numFmtId="165" fontId="39" fillId="32" borderId="15" xfId="0" applyNumberFormat="1" applyFont="1" applyFill="1" applyBorder="1" applyAlignment="1">
      <alignment horizontal="center" vertical="center"/>
    </xf>
    <xf numFmtId="165" fontId="39" fillId="33" borderId="15" xfId="0" applyNumberFormat="1" applyFont="1" applyFill="1" applyBorder="1" applyAlignment="1">
      <alignment horizontal="center" vertical="center"/>
    </xf>
    <xf numFmtId="10" fontId="32" fillId="6" borderId="4" xfId="0" applyNumberFormat="1" applyFont="1" applyFill="1" applyBorder="1" applyAlignment="1" applyProtection="1">
      <alignment horizontal="center" vertical="center"/>
      <protection locked="0"/>
    </xf>
    <xf numFmtId="0" fontId="40" fillId="34" borderId="4" xfId="0" applyFont="1" applyFill="1" applyBorder="1" applyAlignment="1" applyProtection="1">
      <alignment horizontal="center" vertical="center"/>
      <protection locked="0"/>
    </xf>
    <xf numFmtId="0" fontId="16" fillId="29" borderId="4" xfId="0" applyFont="1" applyFill="1" applyBorder="1" applyAlignment="1" applyProtection="1">
      <alignment horizontal="center" vertical="center"/>
      <protection locked="0"/>
    </xf>
    <xf numFmtId="14" fontId="22" fillId="6" borderId="2" xfId="0" applyNumberFormat="1" applyFont="1" applyFill="1" applyBorder="1" applyAlignment="1" applyProtection="1">
      <alignment horizontal="left" vertical="center" wrapText="1"/>
      <protection locked="0"/>
    </xf>
    <xf numFmtId="0" fontId="42" fillId="6" borderId="2" xfId="0" applyFont="1" applyFill="1" applyBorder="1" applyAlignment="1" applyProtection="1">
      <alignment horizontal="left" vertical="center" wrapText="1"/>
      <protection locked="0"/>
    </xf>
    <xf numFmtId="0" fontId="17" fillId="6" borderId="6" xfId="0" applyFont="1" applyFill="1" applyBorder="1" applyAlignment="1" applyProtection="1">
      <alignment horizontal="left" vertical="center" wrapText="1"/>
      <protection locked="0"/>
    </xf>
    <xf numFmtId="0" fontId="13" fillId="20" borderId="0" xfId="0" applyFont="1" applyFill="1" applyAlignment="1">
      <alignment horizontal="left" vertical="center" wrapText="1"/>
    </xf>
    <xf numFmtId="0" fontId="1" fillId="2" borderId="0" xfId="0" applyFont="1" applyFill="1" applyAlignment="1">
      <alignment horizontal="center"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3" borderId="1" xfId="0" applyFont="1" applyFill="1" applyBorder="1" applyAlignment="1">
      <alignment horizontal="center" vertical="center"/>
    </xf>
    <xf numFmtId="0" fontId="5" fillId="5" borderId="3" xfId="0" applyFont="1" applyFill="1" applyBorder="1" applyAlignment="1">
      <alignment horizontal="left" vertical="center"/>
    </xf>
    <xf numFmtId="0" fontId="6" fillId="6" borderId="1" xfId="0" applyFont="1" applyFill="1" applyBorder="1" applyAlignment="1">
      <alignment horizontal="left" vertical="center" indent="1"/>
    </xf>
    <xf numFmtId="0" fontId="7" fillId="7" borderId="1" xfId="0" applyFont="1" applyFill="1" applyBorder="1" applyAlignment="1">
      <alignment horizontal="left" vertical="center" indent="1"/>
    </xf>
    <xf numFmtId="0" fontId="6" fillId="4" borderId="1" xfId="0" applyFont="1" applyFill="1" applyBorder="1" applyAlignment="1">
      <alignment horizontal="left" vertical="center" indent="1"/>
    </xf>
    <xf numFmtId="0" fontId="8" fillId="8" borderId="1" xfId="0" applyFont="1" applyFill="1" applyBorder="1" applyAlignment="1">
      <alignment horizontal="left" vertical="center" indent="1"/>
    </xf>
    <xf numFmtId="0" fontId="9" fillId="9" borderId="1" xfId="0" applyFont="1" applyFill="1" applyBorder="1" applyAlignment="1">
      <alignment horizontal="left" vertical="center" indent="1"/>
    </xf>
    <xf numFmtId="0" fontId="6" fillId="10" borderId="1" xfId="0" applyFont="1" applyFill="1" applyBorder="1" applyAlignment="1">
      <alignment horizontal="left" vertical="center" indent="1"/>
    </xf>
    <xf numFmtId="0" fontId="10" fillId="0" borderId="0" xfId="0" applyFont="1" applyAlignment="1">
      <alignment horizontal="center" vertical="center"/>
    </xf>
    <xf numFmtId="0" fontId="11" fillId="2" borderId="0" xfId="0" applyFont="1" applyFill="1" applyAlignment="1">
      <alignment horizontal="center" vertical="center"/>
    </xf>
    <xf numFmtId="0" fontId="12" fillId="0" borderId="0" xfId="0" applyFont="1" applyAlignment="1">
      <alignment horizontal="left" vertical="center"/>
    </xf>
    <xf numFmtId="0" fontId="13" fillId="3" borderId="1" xfId="0" applyFont="1" applyFill="1" applyBorder="1" applyAlignment="1">
      <alignment horizontal="center" vertical="center" wrapText="1"/>
    </xf>
    <xf numFmtId="0" fontId="13" fillId="11" borderId="1" xfId="0" applyFont="1" applyFill="1" applyBorder="1" applyAlignment="1">
      <alignment horizontal="center" vertical="center" wrapText="1"/>
    </xf>
    <xf numFmtId="0" fontId="14" fillId="4" borderId="1" xfId="0" applyFont="1" applyFill="1" applyBorder="1" applyAlignment="1">
      <alignment horizontal="center" vertical="center"/>
    </xf>
    <xf numFmtId="0" fontId="13" fillId="3" borderId="1" xfId="0" applyFont="1" applyFill="1" applyBorder="1" applyAlignment="1">
      <alignment horizontal="center" vertical="center"/>
    </xf>
    <xf numFmtId="0" fontId="17" fillId="6" borderId="1" xfId="0" applyFont="1" applyFill="1" applyBorder="1" applyAlignment="1">
      <alignment horizontal="left" vertical="center" indent="1"/>
    </xf>
    <xf numFmtId="0" fontId="17" fillId="4" borderId="1" xfId="0" applyFont="1" applyFill="1" applyBorder="1" applyAlignment="1">
      <alignment horizontal="left" vertical="center" indent="1"/>
    </xf>
    <xf numFmtId="0" fontId="17" fillId="8" borderId="1" xfId="0" applyFont="1" applyFill="1" applyBorder="1" applyAlignment="1">
      <alignment horizontal="left" vertical="center" indent="1"/>
    </xf>
    <xf numFmtId="0" fontId="17" fillId="9" borderId="1" xfId="0" applyFont="1" applyFill="1" applyBorder="1" applyAlignment="1">
      <alignment horizontal="left" vertical="center" indent="1"/>
    </xf>
    <xf numFmtId="0" fontId="4" fillId="3" borderId="0" xfId="0" applyFont="1" applyFill="1" applyAlignment="1">
      <alignment horizontal="left" vertical="center"/>
    </xf>
    <xf numFmtId="0" fontId="18" fillId="15" borderId="0" xfId="0" applyFont="1" applyFill="1" applyAlignment="1">
      <alignment horizontal="center" vertical="center"/>
    </xf>
    <xf numFmtId="0" fontId="18" fillId="15" borderId="0" xfId="0" applyFont="1" applyFill="1" applyAlignment="1">
      <alignment horizontal="center"/>
    </xf>
    <xf numFmtId="0" fontId="36" fillId="31" borderId="0" xfId="0" applyFont="1" applyFill="1" applyAlignment="1">
      <alignment horizontal="center" vertical="center" wrapText="1"/>
    </xf>
    <xf numFmtId="0" fontId="36" fillId="0" borderId="0" xfId="0" applyFont="1" applyAlignment="1">
      <alignment horizontal="center" vertical="center" wrapText="1"/>
    </xf>
  </cellXfs>
  <cellStyles count="2">
    <cellStyle name="Normal" xfId="0" builtinId="0"/>
    <cellStyle name="Normal 2" xfId="1" xr:uid="{00000000-0005-0000-0000-000006000000}"/>
  </cellStyles>
  <dxfs count="47">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EB9C"/>
      <rgbColor rgb="FFFF00FF"/>
      <rgbColor rgb="FF00FFFF"/>
      <rgbColor rgb="FF9C0006"/>
      <rgbColor rgb="FF006100"/>
      <rgbColor rgb="FF000080"/>
      <rgbColor rgb="FF9C6500"/>
      <rgbColor rgb="FF800080"/>
      <rgbColor rgb="FF008080"/>
      <rgbColor rgb="FFBFBFBF"/>
      <rgbColor rgb="FF808080"/>
      <rgbColor rgb="FF9999FF"/>
      <rgbColor rgb="FF993366"/>
      <rgbColor rgb="FFFFF2CC"/>
      <rgbColor rgb="FFE8F4FD"/>
      <rgbColor rgb="FF660066"/>
      <rgbColor rgb="FFFF8080"/>
      <rgbColor rgb="FF0066CC"/>
      <rgbColor rgb="FFBDD7EE"/>
      <rgbColor rgb="FF000080"/>
      <rgbColor rgb="FFFF00FF"/>
      <rgbColor rgb="FFF2F2F2"/>
      <rgbColor rgb="FF00FFFF"/>
      <rgbColor rgb="FF800080"/>
      <rgbColor rgb="FFC00000"/>
      <rgbColor rgb="FF008080"/>
      <rgbColor rgb="FF0000FF"/>
      <rgbColor rgb="FF00CCFF"/>
      <rgbColor rgb="FFDEEAF1"/>
      <rgbColor rgb="FFC6EFCE"/>
      <rgbColor rgb="FFFFFF99"/>
      <rgbColor rgb="FFD9D9D9"/>
      <rgbColor rgb="FFFCE4D6"/>
      <rgbColor rgb="FFE2EFDA"/>
      <rgbColor rgb="FFFFC7CE"/>
      <rgbColor rgb="FF2E75B6"/>
      <rgbColor rgb="FF33CCCC"/>
      <rgbColor rgb="FF99CC00"/>
      <rgbColor rgb="FFFFD966"/>
      <rgbColor rgb="FFFF9900"/>
      <rgbColor rgb="FFFF6600"/>
      <rgbColor rgb="FF595959"/>
      <rgbColor rgb="FF70AD47"/>
      <rgbColor rgb="FF1A3A5C"/>
      <rgbColor rgb="FF339966"/>
      <rgbColor rgb="FF155724"/>
      <rgbColor rgb="FF333300"/>
      <rgbColor rgb="FF7B241C"/>
      <rgbColor rgb="FF993366"/>
      <rgbColor rgb="FF1F4E79"/>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3600" b="1" i="0" u="none" strike="noStrike" kern="1200" cap="none" spc="0" normalizeH="0" baseline="0" noProof="0">
                <a:ln>
                  <a:noFill/>
                </a:ln>
                <a:solidFill>
                  <a:srgbClr val="1F497D"/>
                </a:solidFill>
                <a:effectLst/>
                <a:uLnTx/>
                <a:uFillTx/>
                <a:latin typeface="Calibri"/>
              </a:rPr>
              <a:t>Plant Reactive Power (Q-V) Compliance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cat>
            <c:numRef>
              <c:f>'Steady State'!$E$10:$E$49</c:f>
              <c:numCache>
                <c:formatCode>General</c:formatCode>
                <c:ptCount val="40"/>
                <c:pt idx="0">
                  <c:v>1</c:v>
                </c:pt>
                <c:pt idx="1">
                  <c:v>1</c:v>
                </c:pt>
                <c:pt idx="2">
                  <c:v>1</c:v>
                </c:pt>
                <c:pt idx="3">
                  <c:v>1</c:v>
                </c:pt>
                <c:pt idx="4">
                  <c:v>1</c:v>
                </c:pt>
                <c:pt idx="5">
                  <c:v>1</c:v>
                </c:pt>
                <c:pt idx="6">
                  <c:v>1</c:v>
                </c:pt>
                <c:pt idx="7">
                  <c:v>1</c:v>
                </c:pt>
                <c:pt idx="8">
                  <c:v>0.95</c:v>
                </c:pt>
                <c:pt idx="9">
                  <c:v>0.95</c:v>
                </c:pt>
                <c:pt idx="10">
                  <c:v>0.95</c:v>
                </c:pt>
                <c:pt idx="11">
                  <c:v>0.95</c:v>
                </c:pt>
                <c:pt idx="12">
                  <c:v>0.95</c:v>
                </c:pt>
                <c:pt idx="13">
                  <c:v>0.95</c:v>
                </c:pt>
                <c:pt idx="14">
                  <c:v>0.95</c:v>
                </c:pt>
                <c:pt idx="15">
                  <c:v>0.95</c:v>
                </c:pt>
                <c:pt idx="16">
                  <c:v>0.95</c:v>
                </c:pt>
                <c:pt idx="17">
                  <c:v>0.95</c:v>
                </c:pt>
                <c:pt idx="18">
                  <c:v>0.95</c:v>
                </c:pt>
                <c:pt idx="19">
                  <c:v>0.95</c:v>
                </c:pt>
                <c:pt idx="20">
                  <c:v>0.95</c:v>
                </c:pt>
                <c:pt idx="21">
                  <c:v>0.95</c:v>
                </c:pt>
                <c:pt idx="22">
                  <c:v>1</c:v>
                </c:pt>
                <c:pt idx="23">
                  <c:v>1</c:v>
                </c:pt>
                <c:pt idx="24">
                  <c:v>1</c:v>
                </c:pt>
                <c:pt idx="25">
                  <c:v>1</c:v>
                </c:pt>
                <c:pt idx="26">
                  <c:v>1</c:v>
                </c:pt>
                <c:pt idx="27">
                  <c:v>1</c:v>
                </c:pt>
                <c:pt idx="28">
                  <c:v>1.05</c:v>
                </c:pt>
                <c:pt idx="29">
                  <c:v>1.05</c:v>
                </c:pt>
                <c:pt idx="30">
                  <c:v>1.05</c:v>
                </c:pt>
                <c:pt idx="31">
                  <c:v>1.05</c:v>
                </c:pt>
                <c:pt idx="32">
                  <c:v>1.05</c:v>
                </c:pt>
                <c:pt idx="33">
                  <c:v>1.05</c:v>
                </c:pt>
                <c:pt idx="34">
                  <c:v>1.05</c:v>
                </c:pt>
                <c:pt idx="35">
                  <c:v>1.05</c:v>
                </c:pt>
                <c:pt idx="36">
                  <c:v>1.05</c:v>
                </c:pt>
                <c:pt idx="37">
                  <c:v>1.05</c:v>
                </c:pt>
                <c:pt idx="38">
                  <c:v>1.05</c:v>
                </c:pt>
                <c:pt idx="39">
                  <c:v>1.05</c:v>
                </c:pt>
              </c:numCache>
            </c:numRef>
          </c:cat>
          <c:val>
            <c:numRef>
              <c:f>'Steady State'!$H$10:$H$49</c:f>
              <c:numCache>
                <c:formatCode>General</c:formatCode>
                <c:ptCount val="40"/>
                <c:pt idx="0">
                  <c:v>-0.5047296</c:v>
                </c:pt>
                <c:pt idx="1">
                  <c:v>0</c:v>
                </c:pt>
                <c:pt idx="2">
                  <c:v>-1</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-1.643</c:v>
                </c:pt>
                <c:pt idx="23">
                  <c:v>0</c:v>
                </c:pt>
                <c:pt idx="24">
                  <c:v>-1</c:v>
                </c:pt>
                <c:pt idx="25">
                  <c:v>-1</c:v>
                </c:pt>
                <c:pt idx="26">
                  <c:v>0</c:v>
                </c:pt>
                <c:pt idx="27">
                  <c:v>0</c:v>
                </c:pt>
                <c:pt idx="28">
                  <c:v>-1.643</c:v>
                </c:pt>
                <c:pt idx="29">
                  <c:v>0</c:v>
                </c:pt>
                <c:pt idx="30">
                  <c:v>-1</c:v>
                </c:pt>
                <c:pt idx="31">
                  <c:v>-1</c:v>
                </c:pt>
                <c:pt idx="32">
                  <c:v>0</c:v>
                </c:pt>
                <c:pt idx="33">
                  <c:v>0</c:v>
                </c:pt>
                <c:pt idx="34">
                  <c:v>-1.643</c:v>
                </c:pt>
                <c:pt idx="35">
                  <c:v>0</c:v>
                </c:pt>
                <c:pt idx="36">
                  <c:v>-1</c:v>
                </c:pt>
                <c:pt idx="37">
                  <c:v>-1</c:v>
                </c:pt>
                <c:pt idx="38">
                  <c:v>0</c:v>
                </c:pt>
                <c:pt idx="39">
                  <c:v>0</c:v>
                </c:pt>
              </c:numCache>
            </c:numRef>
          </c:val>
          <c:extLst>
            <c:ext xmlns:c16="http://schemas.microsoft.com/office/drawing/2014/chart" uri="{C3380CC4-5D6E-409C-BE32-E72D297353CC}">
              <c16:uniqueId val="{00000000-5D2A-4164-96BF-DA5355587390}"/>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cat>
            <c:numRef>
              <c:f>'Steady State'!$E$10:$E$49</c:f>
              <c:numCache>
                <c:formatCode>General</c:formatCode>
                <c:ptCount val="40"/>
                <c:pt idx="0">
                  <c:v>1</c:v>
                </c:pt>
                <c:pt idx="1">
                  <c:v>1</c:v>
                </c:pt>
                <c:pt idx="2">
                  <c:v>1</c:v>
                </c:pt>
                <c:pt idx="3">
                  <c:v>1</c:v>
                </c:pt>
                <c:pt idx="4">
                  <c:v>1</c:v>
                </c:pt>
                <c:pt idx="5">
                  <c:v>1</c:v>
                </c:pt>
                <c:pt idx="6">
                  <c:v>1</c:v>
                </c:pt>
                <c:pt idx="7">
                  <c:v>1</c:v>
                </c:pt>
                <c:pt idx="8">
                  <c:v>0.95</c:v>
                </c:pt>
                <c:pt idx="9">
                  <c:v>0.95</c:v>
                </c:pt>
                <c:pt idx="10">
                  <c:v>0.95</c:v>
                </c:pt>
                <c:pt idx="11">
                  <c:v>0.95</c:v>
                </c:pt>
                <c:pt idx="12">
                  <c:v>0.95</c:v>
                </c:pt>
                <c:pt idx="13">
                  <c:v>0.95</c:v>
                </c:pt>
                <c:pt idx="14">
                  <c:v>0.95</c:v>
                </c:pt>
                <c:pt idx="15">
                  <c:v>0.95</c:v>
                </c:pt>
                <c:pt idx="16">
                  <c:v>0.95</c:v>
                </c:pt>
                <c:pt idx="17">
                  <c:v>0.95</c:v>
                </c:pt>
                <c:pt idx="18">
                  <c:v>0.95</c:v>
                </c:pt>
                <c:pt idx="19">
                  <c:v>0.95</c:v>
                </c:pt>
                <c:pt idx="20">
                  <c:v>0.95</c:v>
                </c:pt>
                <c:pt idx="21">
                  <c:v>0.95</c:v>
                </c:pt>
                <c:pt idx="22">
                  <c:v>1</c:v>
                </c:pt>
                <c:pt idx="23">
                  <c:v>1</c:v>
                </c:pt>
                <c:pt idx="24">
                  <c:v>1</c:v>
                </c:pt>
                <c:pt idx="25">
                  <c:v>1</c:v>
                </c:pt>
                <c:pt idx="26">
                  <c:v>1</c:v>
                </c:pt>
                <c:pt idx="27">
                  <c:v>1</c:v>
                </c:pt>
                <c:pt idx="28">
                  <c:v>1.05</c:v>
                </c:pt>
                <c:pt idx="29">
                  <c:v>1.05</c:v>
                </c:pt>
                <c:pt idx="30">
                  <c:v>1.05</c:v>
                </c:pt>
                <c:pt idx="31">
                  <c:v>1.05</c:v>
                </c:pt>
                <c:pt idx="32">
                  <c:v>1.05</c:v>
                </c:pt>
                <c:pt idx="33">
                  <c:v>1.05</c:v>
                </c:pt>
                <c:pt idx="34">
                  <c:v>1.05</c:v>
                </c:pt>
                <c:pt idx="35">
                  <c:v>1.05</c:v>
                </c:pt>
                <c:pt idx="36">
                  <c:v>1.05</c:v>
                </c:pt>
                <c:pt idx="37">
                  <c:v>1.05</c:v>
                </c:pt>
                <c:pt idx="38">
                  <c:v>1.05</c:v>
                </c:pt>
                <c:pt idx="39">
                  <c:v>1.05</c:v>
                </c:pt>
              </c:numCache>
            </c:numRef>
          </c:cat>
          <c:val>
            <c:numRef>
              <c:f>'Steady State'!$I$10:$I$49</c:f>
              <c:numCache>
                <c:formatCode>General</c:formatCode>
                <c:ptCount val="40"/>
                <c:pt idx="0">
                  <c:v>0.5047296</c:v>
                </c:pt>
                <c:pt idx="1">
                  <c:v>1</c:v>
                </c:pt>
                <c:pt idx="2">
                  <c:v>1</c:v>
                </c:pt>
                <c:pt idx="3">
                  <c:v>1</c:v>
                </c:pt>
                <c:pt idx="4">
                  <c:v>1</c:v>
                </c:pt>
                <c:pt idx="5">
                  <c:v>1</c:v>
                </c:pt>
                <c:pt idx="6">
                  <c:v>1</c:v>
                </c:pt>
                <c:pt idx="7">
                  <c:v>1</c:v>
                </c:pt>
                <c:pt idx="8">
                  <c:v>1.643</c:v>
                </c:pt>
                <c:pt idx="9">
                  <c:v>1</c:v>
                </c:pt>
                <c:pt idx="10">
                  <c:v>1</c:v>
                </c:pt>
                <c:pt idx="11">
                  <c:v>1</c:v>
                </c:pt>
                <c:pt idx="12">
                  <c:v>1</c:v>
                </c:pt>
                <c:pt idx="13">
                  <c:v>1</c:v>
                </c:pt>
                <c:pt idx="14">
                  <c:v>1</c:v>
                </c:pt>
                <c:pt idx="15">
                  <c:v>1.643</c:v>
                </c:pt>
                <c:pt idx="16">
                  <c:v>1</c:v>
                </c:pt>
                <c:pt idx="17">
                  <c:v>1</c:v>
                </c:pt>
                <c:pt idx="18">
                  <c:v>1</c:v>
                </c:pt>
                <c:pt idx="19">
                  <c:v>1</c:v>
                </c:pt>
                <c:pt idx="20">
                  <c:v>1</c:v>
                </c:pt>
                <c:pt idx="21">
                  <c:v>1</c:v>
                </c:pt>
                <c:pt idx="22">
                  <c:v>1.643</c:v>
                </c:pt>
                <c:pt idx="23">
                  <c:v>1</c:v>
                </c:pt>
                <c:pt idx="24">
                  <c:v>1</c:v>
                </c:pt>
                <c:pt idx="25">
                  <c:v>1</c:v>
                </c:pt>
                <c:pt idx="26">
                  <c:v>1</c:v>
                </c:pt>
                <c:pt idx="27">
                  <c:v>1</c:v>
                </c:pt>
                <c:pt idx="28">
                  <c:v>0</c:v>
                </c:pt>
                <c:pt idx="29">
                  <c:v>1</c:v>
                </c:pt>
                <c:pt idx="30">
                  <c:v>0</c:v>
                </c:pt>
                <c:pt idx="31">
                  <c:v>0</c:v>
                </c:pt>
                <c:pt idx="32">
                  <c:v>1</c:v>
                </c:pt>
                <c:pt idx="33">
                  <c:v>1</c:v>
                </c:pt>
                <c:pt idx="34">
                  <c:v>0</c:v>
                </c:pt>
                <c:pt idx="35">
                  <c:v>-1</c:v>
                </c:pt>
                <c:pt idx="36">
                  <c:v>0</c:v>
                </c:pt>
                <c:pt idx="37">
                  <c:v>0</c:v>
                </c:pt>
                <c:pt idx="38">
                  <c:v>-1</c:v>
                </c:pt>
                <c:pt idx="39">
                  <c:v>-1</c:v>
                </c:pt>
              </c:numCache>
            </c:numRef>
          </c:val>
          <c:extLst>
            <c:ext xmlns:c16="http://schemas.microsoft.com/office/drawing/2014/chart" uri="{C3380CC4-5D6E-409C-BE32-E72D297353CC}">
              <c16:uniqueId val="{00000001-5D2A-4164-96BF-DA5355587390}"/>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cat>
            <c:numRef>
              <c:f>'Steady State'!$E$10:$E$49</c:f>
              <c:numCache>
                <c:formatCode>General</c:formatCode>
                <c:ptCount val="40"/>
                <c:pt idx="0">
                  <c:v>1</c:v>
                </c:pt>
                <c:pt idx="1">
                  <c:v>1</c:v>
                </c:pt>
                <c:pt idx="2">
                  <c:v>1</c:v>
                </c:pt>
                <c:pt idx="3">
                  <c:v>1</c:v>
                </c:pt>
                <c:pt idx="4">
                  <c:v>1</c:v>
                </c:pt>
                <c:pt idx="5">
                  <c:v>1</c:v>
                </c:pt>
                <c:pt idx="6">
                  <c:v>1</c:v>
                </c:pt>
                <c:pt idx="7">
                  <c:v>1</c:v>
                </c:pt>
                <c:pt idx="8">
                  <c:v>0.95</c:v>
                </c:pt>
                <c:pt idx="9">
                  <c:v>0.95</c:v>
                </c:pt>
                <c:pt idx="10">
                  <c:v>0.95</c:v>
                </c:pt>
                <c:pt idx="11">
                  <c:v>0.95</c:v>
                </c:pt>
                <c:pt idx="12">
                  <c:v>0.95</c:v>
                </c:pt>
                <c:pt idx="13">
                  <c:v>0.95</c:v>
                </c:pt>
                <c:pt idx="14">
                  <c:v>0.95</c:v>
                </c:pt>
                <c:pt idx="15">
                  <c:v>0.95</c:v>
                </c:pt>
                <c:pt idx="16">
                  <c:v>0.95</c:v>
                </c:pt>
                <c:pt idx="17">
                  <c:v>0.95</c:v>
                </c:pt>
                <c:pt idx="18">
                  <c:v>0.95</c:v>
                </c:pt>
                <c:pt idx="19">
                  <c:v>0.95</c:v>
                </c:pt>
                <c:pt idx="20">
                  <c:v>0.95</c:v>
                </c:pt>
                <c:pt idx="21">
                  <c:v>0.95</c:v>
                </c:pt>
                <c:pt idx="22">
                  <c:v>1</c:v>
                </c:pt>
                <c:pt idx="23">
                  <c:v>1</c:v>
                </c:pt>
                <c:pt idx="24">
                  <c:v>1</c:v>
                </c:pt>
                <c:pt idx="25">
                  <c:v>1</c:v>
                </c:pt>
                <c:pt idx="26">
                  <c:v>1</c:v>
                </c:pt>
                <c:pt idx="27">
                  <c:v>1</c:v>
                </c:pt>
                <c:pt idx="28">
                  <c:v>1.05</c:v>
                </c:pt>
                <c:pt idx="29">
                  <c:v>1.05</c:v>
                </c:pt>
                <c:pt idx="30">
                  <c:v>1.05</c:v>
                </c:pt>
                <c:pt idx="31">
                  <c:v>1.05</c:v>
                </c:pt>
                <c:pt idx="32">
                  <c:v>1.05</c:v>
                </c:pt>
                <c:pt idx="33">
                  <c:v>1.05</c:v>
                </c:pt>
                <c:pt idx="34">
                  <c:v>1.05</c:v>
                </c:pt>
                <c:pt idx="35">
                  <c:v>1.05</c:v>
                </c:pt>
                <c:pt idx="36">
                  <c:v>1.05</c:v>
                </c:pt>
                <c:pt idx="37">
                  <c:v>1.05</c:v>
                </c:pt>
                <c:pt idx="38">
                  <c:v>1.05</c:v>
                </c:pt>
                <c:pt idx="39">
                  <c:v>1.05</c:v>
                </c:pt>
              </c:numCache>
            </c:numRef>
          </c:cat>
          <c:val>
            <c:numRef>
              <c:f>'Steady State'!$G$10:$G$49</c:f>
              <c:numCache>
                <c:formatCode>General</c:formatCode>
                <c:ptCount val="40"/>
                <c:pt idx="0">
                  <c:v>0.01</c:v>
                </c:pt>
                <c:pt idx="1">
                  <c:v>0.27</c:v>
                </c:pt>
                <c:pt idx="2">
                  <c:v>0</c:v>
                </c:pt>
                <c:pt idx="3">
                  <c:v>1</c:v>
                </c:pt>
                <c:pt idx="4">
                  <c:v>1</c:v>
                </c:pt>
                <c:pt idx="5">
                  <c:v>0</c:v>
                </c:pt>
                <c:pt idx="6">
                  <c:v>0</c:v>
                </c:pt>
                <c:pt idx="7">
                  <c:v>0</c:v>
                </c:pt>
                <c:pt idx="8">
                  <c:v>-0.01</c:v>
                </c:pt>
                <c:pt idx="9">
                  <c:v>0.28000000000000003</c:v>
                </c:pt>
                <c:pt idx="10">
                  <c:v>0</c:v>
                </c:pt>
                <c:pt idx="11">
                  <c:v>0</c:v>
                </c:pt>
                <c:pt idx="12">
                  <c:v>1</c:v>
                </c:pt>
                <c:pt idx="13">
                  <c:v>1</c:v>
                </c:pt>
                <c:pt idx="14">
                  <c:v>0</c:v>
                </c:pt>
                <c:pt idx="15">
                  <c:v>0.33</c:v>
                </c:pt>
                <c:pt idx="16">
                  <c:v>0.26</c:v>
                </c:pt>
                <c:pt idx="17">
                  <c:v>0.4</c:v>
                </c:pt>
                <c:pt idx="18">
                  <c:v>0</c:v>
                </c:pt>
                <c:pt idx="19">
                  <c:v>1</c:v>
                </c:pt>
                <c:pt idx="20">
                  <c:v>1</c:v>
                </c:pt>
                <c:pt idx="21">
                  <c:v>0.18</c:v>
                </c:pt>
                <c:pt idx="22">
                  <c:v>0.33</c:v>
                </c:pt>
                <c:pt idx="23">
                  <c:v>0.27</c:v>
                </c:pt>
                <c:pt idx="24">
                  <c:v>0.28000000000000003</c:v>
                </c:pt>
                <c:pt idx="25">
                  <c:v>1</c:v>
                </c:pt>
                <c:pt idx="26">
                  <c:v>1</c:v>
                </c:pt>
                <c:pt idx="27">
                  <c:v>0.16700000000000001</c:v>
                </c:pt>
                <c:pt idx="28">
                  <c:v>0.02</c:v>
                </c:pt>
                <c:pt idx="29">
                  <c:v>0.26</c:v>
                </c:pt>
                <c:pt idx="30">
                  <c:v>0</c:v>
                </c:pt>
                <c:pt idx="31">
                  <c:v>0.7</c:v>
                </c:pt>
                <c:pt idx="32">
                  <c:v>1</c:v>
                </c:pt>
                <c:pt idx="33">
                  <c:v>0</c:v>
                </c:pt>
                <c:pt idx="34">
                  <c:v>-0.33</c:v>
                </c:pt>
                <c:pt idx="35">
                  <c:v>0.27</c:v>
                </c:pt>
                <c:pt idx="36">
                  <c:v>0</c:v>
                </c:pt>
                <c:pt idx="37">
                  <c:v>0.02</c:v>
                </c:pt>
                <c:pt idx="38">
                  <c:v>1</c:v>
                </c:pt>
                <c:pt idx="39">
                  <c:v>0</c:v>
                </c:pt>
              </c:numCache>
            </c:numRef>
          </c:val>
          <c:extLst>
            <c:ext xmlns:c15="http://schemas.microsoft.com/office/drawing/2012/chart" uri="{02D57815-91ED-43cb-92C2-25804820EDAC}">
              <c15:filteredSeriesTitle>
                <c15:tx>
                  <c:strRef>
                    <c:extLst>
                      <c:ext uri="{02D57815-91ED-43cb-92C2-25804820EDAC}">
                        <c15:formulaRef>
                          <c15:sqref>{"Q_V_Response"}</c15:sqref>
                        </c15:formulaRef>
                      </c:ext>
                    </c:extLst>
                    <c:strCache>
                      <c:ptCount val="1"/>
                      <c:pt idx="0">
                        <c:v>Q_V_Response</c:v>
                      </c:pt>
                    </c:strCache>
                  </c:strRef>
                </c15:tx>
              </c15:filteredSeriesTitle>
            </c:ext>
            <c:ext xmlns:c16="http://schemas.microsoft.com/office/drawing/2014/chart" uri="{C3380CC4-5D6E-409C-BE32-E72D297353CC}">
              <c16:uniqueId val="{00000001-22A0-4C01-956F-356A61656153}"/>
            </c:ext>
          </c:extLst>
        </c:ser>
        <c:dLbls>
          <c:showLegendKey val="0"/>
          <c:showVal val="0"/>
          <c:showCatName val="0"/>
          <c:showSerName val="0"/>
          <c:showPercent val="0"/>
          <c:showBubbleSize val="0"/>
        </c:dLbls>
        <c:axId val="1674252295"/>
        <c:axId val="1674254855"/>
      </c:radarChart>
      <c:catAx>
        <c:axId val="1674252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254855"/>
        <c:crosses val="autoZero"/>
        <c:auto val="1"/>
        <c:lblAlgn val="ctr"/>
        <c:lblOffset val="100"/>
        <c:noMultiLvlLbl val="1"/>
      </c:catAx>
      <c:valAx>
        <c:axId val="1674254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252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baseline="0">
                <a:solidFill>
                  <a:schemeClr val="tx2"/>
                </a:solidFill>
                <a:latin typeface="+mn-lt"/>
                <a:ea typeface="+mn-ea"/>
                <a:cs typeface="+mn-cs"/>
              </a:defRPr>
            </a:pPr>
            <a:r>
              <a:rPr lang="en-IN" sz="2400"/>
              <a:t>LVRT_Del_Iq_3PH</a:t>
            </a:r>
          </a:p>
          <a:p>
            <a:pPr>
              <a:defRPr sz="2400"/>
            </a:pPr>
            <a:r>
              <a:rPr lang="en-IN" sz="2400"/>
              <a:t>INV/WTG/PCS/SVG</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2"/>
              </a:solidFill>
              <a:latin typeface="+mn-lt"/>
              <a:ea typeface="+mn-ea"/>
              <a:cs typeface="+mn-cs"/>
            </a:defRPr>
          </a:pPr>
          <a:endParaRPr lang="en-US"/>
        </a:p>
      </c:txPr>
    </c:title>
    <c:autoTitleDeleted val="0"/>
    <c:plotArea>
      <c:layout/>
      <c:radarChart>
        <c:radarStyle val="marker"/>
        <c:varyColors val="0"/>
        <c:ser>
          <c:idx val="0"/>
          <c:order val="0"/>
          <c:tx>
            <c:v>Del_Iq_PSSE</c:v>
          </c:tx>
          <c:spPr>
            <a:ln w="31750" cap="rnd">
              <a:solidFill>
                <a:schemeClr val="accent1"/>
              </a:solidFill>
              <a:round/>
            </a:ln>
            <a:effectLst/>
          </c:spPr>
          <c:marker>
            <c:symbol val="none"/>
          </c:marker>
          <c:dLbls>
            <c:dLbl>
              <c:idx val="0"/>
              <c:tx>
                <c:rich>
                  <a:bodyPr/>
                  <a:lstStyle/>
                  <a:p>
                    <a:fld id="{3346A815-8F7A-4877-8701-AD0714B0DA5B}" type="CELLRANGE">
                      <a:rPr lang="en-IN"/>
                      <a:pPr/>
                      <a:t>[CELLRANGE]</a:t>
                    </a:fld>
                    <a:r>
                      <a:rPr lang="en-IN" baseline="0"/>
                      <a:t>, </a:t>
                    </a:r>
                    <a:fld id="{68250C29-0D7C-46DF-8B49-E5F63417BBFB}" type="CATEGORYNAME">
                      <a:rPr lang="en-IN" baseline="0"/>
                      <a:pPr/>
                      <a:t>[CATEGORY NAME]</a:t>
                    </a:fld>
                    <a:r>
                      <a:rPr lang="en-IN" baseline="0"/>
                      <a:t>, </a:t>
                    </a:r>
                    <a:fld id="{AC0D7A59-2E80-445C-839B-BA38CA61F074}"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C5E7-414C-830A-B752D19BA6EB}"/>
                </c:ext>
              </c:extLst>
            </c:dLbl>
            <c:dLbl>
              <c:idx val="1"/>
              <c:tx>
                <c:rich>
                  <a:bodyPr/>
                  <a:lstStyle/>
                  <a:p>
                    <a:fld id="{1011482E-59AC-40DC-9270-2114C4B118FF}" type="CELLRANGE">
                      <a:rPr lang="en-IN"/>
                      <a:pPr/>
                      <a:t>[CELLRANGE]</a:t>
                    </a:fld>
                    <a:r>
                      <a:rPr lang="en-IN" baseline="0"/>
                      <a:t>, </a:t>
                    </a:r>
                    <a:fld id="{22701277-446A-4A4E-89E0-EA098C325466}" type="CATEGORYNAME">
                      <a:rPr lang="en-IN" baseline="0"/>
                      <a:pPr/>
                      <a:t>[CATEGORY NAME]</a:t>
                    </a:fld>
                    <a:r>
                      <a:rPr lang="en-IN" baseline="0"/>
                      <a:t>, </a:t>
                    </a:r>
                    <a:fld id="{0E7B35F5-BBC9-49BA-9D48-CBBE297BFB9B}"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5E7-414C-830A-B752D19BA6EB}"/>
                </c:ext>
              </c:extLst>
            </c:dLbl>
            <c:dLbl>
              <c:idx val="2"/>
              <c:tx>
                <c:rich>
                  <a:bodyPr/>
                  <a:lstStyle/>
                  <a:p>
                    <a:fld id="{F1588CF7-8244-40B0-B944-B26E62A0C052}" type="CELLRANGE">
                      <a:rPr lang="en-IN"/>
                      <a:pPr/>
                      <a:t>[CELLRANGE]</a:t>
                    </a:fld>
                    <a:r>
                      <a:rPr lang="en-IN" baseline="0"/>
                      <a:t>, </a:t>
                    </a:r>
                    <a:fld id="{B2004AD7-7996-404D-961F-671958E2D60D}" type="CATEGORYNAME">
                      <a:rPr lang="en-IN" baseline="0"/>
                      <a:pPr/>
                      <a:t>[CATEGORY NAME]</a:t>
                    </a:fld>
                    <a:r>
                      <a:rPr lang="en-IN" baseline="0"/>
                      <a:t>, </a:t>
                    </a:r>
                    <a:fld id="{B164D05F-3214-4417-AB36-F3E836547BDF}"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5E7-414C-830A-B752D19BA6EB}"/>
                </c:ext>
              </c:extLst>
            </c:dLbl>
            <c:dLbl>
              <c:idx val="3"/>
              <c:tx>
                <c:rich>
                  <a:bodyPr/>
                  <a:lstStyle/>
                  <a:p>
                    <a:fld id="{3C794CF3-B4C2-42DB-AD9F-A7EB27B45DE0}" type="CELLRANGE">
                      <a:rPr lang="en-IN"/>
                      <a:pPr/>
                      <a:t>[CELLRANGE]</a:t>
                    </a:fld>
                    <a:r>
                      <a:rPr lang="en-IN" baseline="0"/>
                      <a:t>, </a:t>
                    </a:r>
                    <a:fld id="{6E51E03D-A948-4257-8DF7-454C3F8A20F5}" type="CATEGORYNAME">
                      <a:rPr lang="en-IN" baseline="0"/>
                      <a:pPr/>
                      <a:t>[CATEGORY NAME]</a:t>
                    </a:fld>
                    <a:r>
                      <a:rPr lang="en-IN" baseline="0"/>
                      <a:t>, </a:t>
                    </a:r>
                    <a:fld id="{EEFDDCB0-56C3-495D-9B01-CD8A590F852C}"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5E7-414C-830A-B752D19BA6EB}"/>
                </c:ext>
              </c:extLst>
            </c:dLbl>
            <c:dLbl>
              <c:idx val="4"/>
              <c:tx>
                <c:rich>
                  <a:bodyPr/>
                  <a:lstStyle/>
                  <a:p>
                    <a:fld id="{B80A4E0B-5164-4861-B8B6-35FCA4949923}" type="CELLRANGE">
                      <a:rPr lang="en-IN"/>
                      <a:pPr/>
                      <a:t>[CELLRANGE]</a:t>
                    </a:fld>
                    <a:r>
                      <a:rPr lang="en-IN" baseline="0"/>
                      <a:t>, </a:t>
                    </a:r>
                    <a:fld id="{1981DF12-F2DA-4BEA-82E8-B54850B096B1}" type="CATEGORYNAME">
                      <a:rPr lang="en-IN" baseline="0"/>
                      <a:pPr/>
                      <a:t>[CATEGORY NAME]</a:t>
                    </a:fld>
                    <a:r>
                      <a:rPr lang="en-IN" baseline="0"/>
                      <a:t>, </a:t>
                    </a:r>
                    <a:fld id="{B84E3B27-A9A2-471E-BAFD-7A0E36C4BA6C}"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5E7-414C-830A-B752D19BA6EB}"/>
                </c:ext>
              </c:extLst>
            </c:dLbl>
            <c:dLbl>
              <c:idx val="5"/>
              <c:tx>
                <c:rich>
                  <a:bodyPr/>
                  <a:lstStyle/>
                  <a:p>
                    <a:fld id="{C103C5BC-D92E-436A-9CC6-09544AEE9A0D}" type="CELLRANGE">
                      <a:rPr lang="en-IN"/>
                      <a:pPr/>
                      <a:t>[CELLRANGE]</a:t>
                    </a:fld>
                    <a:r>
                      <a:rPr lang="en-IN" baseline="0"/>
                      <a:t>, </a:t>
                    </a:r>
                    <a:fld id="{84CA996F-69FF-4A54-83BE-7884445D9C45}" type="CATEGORYNAME">
                      <a:rPr lang="en-IN" baseline="0"/>
                      <a:pPr/>
                      <a:t>[CATEGORY NAME]</a:t>
                    </a:fld>
                    <a:r>
                      <a:rPr lang="en-IN" baseline="0"/>
                      <a:t>, </a:t>
                    </a:r>
                    <a:fld id="{4EC93E7F-41D8-4582-947F-156A0CA6638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5E7-414C-830A-B752D19BA6EB}"/>
                </c:ext>
              </c:extLst>
            </c:dLbl>
            <c:dLbl>
              <c:idx val="6"/>
              <c:tx>
                <c:rich>
                  <a:bodyPr/>
                  <a:lstStyle/>
                  <a:p>
                    <a:fld id="{DFA6A5E1-3636-4F1E-BD35-8CA1A52175C9}" type="CELLRANGE">
                      <a:rPr lang="en-IN"/>
                      <a:pPr/>
                      <a:t>[CELLRANGE]</a:t>
                    </a:fld>
                    <a:r>
                      <a:rPr lang="en-IN" baseline="0"/>
                      <a:t>, </a:t>
                    </a:r>
                    <a:fld id="{811CF998-173C-442A-86C7-9E810A5B8F71}" type="CATEGORYNAME">
                      <a:rPr lang="en-IN" baseline="0"/>
                      <a:pPr/>
                      <a:t>[CATEGORY NAME]</a:t>
                    </a:fld>
                    <a:r>
                      <a:rPr lang="en-IN" baseline="0"/>
                      <a:t>, </a:t>
                    </a:r>
                    <a:fld id="{C40740F4-D821-47D2-B7C9-CAB8BC6332F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C5E7-414C-830A-B752D19BA6EB}"/>
                </c:ext>
              </c:extLst>
            </c:dLbl>
            <c:dLbl>
              <c:idx val="7"/>
              <c:tx>
                <c:rich>
                  <a:bodyPr/>
                  <a:lstStyle/>
                  <a:p>
                    <a:fld id="{C886C36D-EAEB-40E9-8A40-3E775D33D422}" type="CELLRANGE">
                      <a:rPr lang="en-IN"/>
                      <a:pPr/>
                      <a:t>[CELLRANGE]</a:t>
                    </a:fld>
                    <a:r>
                      <a:rPr lang="en-IN" baseline="0"/>
                      <a:t>, </a:t>
                    </a:r>
                    <a:fld id="{88E7DF25-20D5-4CCA-BB59-FDE87A8569EA}" type="CATEGORYNAME">
                      <a:rPr lang="en-IN" baseline="0"/>
                      <a:pPr/>
                      <a:t>[CATEGORY NAME]</a:t>
                    </a:fld>
                    <a:r>
                      <a:rPr lang="en-IN" baseline="0"/>
                      <a:t>, </a:t>
                    </a:r>
                    <a:fld id="{95039165-3E45-418C-AD76-E3C44E01CB5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5E7-414C-830A-B752D19BA6EB}"/>
                </c:ext>
              </c:extLst>
            </c:dLbl>
            <c:dLbl>
              <c:idx val="8"/>
              <c:tx>
                <c:rich>
                  <a:bodyPr/>
                  <a:lstStyle/>
                  <a:p>
                    <a:fld id="{BD6ED44A-9230-4B82-9866-39F659A1321B}" type="CELLRANGE">
                      <a:rPr lang="en-IN"/>
                      <a:pPr/>
                      <a:t>[CELLRANGE]</a:t>
                    </a:fld>
                    <a:r>
                      <a:rPr lang="en-IN" baseline="0"/>
                      <a:t>, </a:t>
                    </a:r>
                    <a:fld id="{4476CFBB-F62F-4E9C-8A2D-3856E6370AEC}" type="CATEGORYNAME">
                      <a:rPr lang="en-IN" baseline="0"/>
                      <a:pPr/>
                      <a:t>[CATEGORY NAME]</a:t>
                    </a:fld>
                    <a:r>
                      <a:rPr lang="en-IN" baseline="0"/>
                      <a:t>, </a:t>
                    </a:r>
                    <a:fld id="{D62750D7-59B6-4926-B5CC-97853BE078C5}"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5E7-414C-830A-B752D19BA6EB}"/>
                </c:ext>
              </c:extLst>
            </c:dLbl>
            <c:dLbl>
              <c:idx val="9"/>
              <c:tx>
                <c:rich>
                  <a:bodyPr/>
                  <a:lstStyle/>
                  <a:p>
                    <a:fld id="{5A7874D6-6DDD-4C26-81EF-DFA68F4835C1}" type="CELLRANGE">
                      <a:rPr lang="en-IN"/>
                      <a:pPr/>
                      <a:t>[CELLRANGE]</a:t>
                    </a:fld>
                    <a:r>
                      <a:rPr lang="en-IN" baseline="0"/>
                      <a:t>, </a:t>
                    </a:r>
                    <a:fld id="{3F986612-02B8-43B8-A8D3-C8D0F78B325D}" type="CATEGORYNAME">
                      <a:rPr lang="en-IN" baseline="0"/>
                      <a:pPr/>
                      <a:t>[CATEGORY NAME]</a:t>
                    </a:fld>
                    <a:r>
                      <a:rPr lang="en-IN" baseline="0"/>
                      <a:t>, </a:t>
                    </a:r>
                    <a:fld id="{01119DB6-3223-4DB9-8995-808F2B7A4957}"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5E7-414C-830A-B752D19BA6EB}"/>
                </c:ext>
              </c:extLst>
            </c:dLbl>
            <c:dLbl>
              <c:idx val="10"/>
              <c:tx>
                <c:rich>
                  <a:bodyPr/>
                  <a:lstStyle/>
                  <a:p>
                    <a:fld id="{A923A93D-3002-4DAF-8A02-DA87F97FD82D}" type="CELLRANGE">
                      <a:rPr lang="en-IN"/>
                      <a:pPr/>
                      <a:t>[CELLRANGE]</a:t>
                    </a:fld>
                    <a:r>
                      <a:rPr lang="en-IN" baseline="0"/>
                      <a:t>, </a:t>
                    </a:r>
                    <a:fld id="{FAF342BE-9FB4-4085-87DE-CCF2ED9D2002}" type="CATEGORYNAME">
                      <a:rPr lang="en-IN" baseline="0"/>
                      <a:pPr/>
                      <a:t>[CATEGORY NAME]</a:t>
                    </a:fld>
                    <a:r>
                      <a:rPr lang="en-IN" baseline="0"/>
                      <a:t>, </a:t>
                    </a:r>
                    <a:fld id="{46616D36-3790-4308-BDBE-D75EF206F9C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5E7-414C-830A-B752D19BA6EB}"/>
                </c:ext>
              </c:extLst>
            </c:dLbl>
            <c:dLbl>
              <c:idx val="11"/>
              <c:tx>
                <c:rich>
                  <a:bodyPr/>
                  <a:lstStyle/>
                  <a:p>
                    <a:fld id="{D87C6D8A-8717-4B26-952E-56F3EBBEA19B}" type="CELLRANGE">
                      <a:rPr lang="en-IN"/>
                      <a:pPr/>
                      <a:t>[CELLRANGE]</a:t>
                    </a:fld>
                    <a:r>
                      <a:rPr lang="en-IN" baseline="0"/>
                      <a:t>, </a:t>
                    </a:r>
                    <a:fld id="{9A08CA6A-3E37-4629-B03F-68369A165767}" type="CATEGORYNAME">
                      <a:rPr lang="en-IN" baseline="0"/>
                      <a:pPr/>
                      <a:t>[CATEGORY NAME]</a:t>
                    </a:fld>
                    <a:r>
                      <a:rPr lang="en-IN" baseline="0"/>
                      <a:t>, </a:t>
                    </a:r>
                    <a:fld id="{506F9DCB-4D78-4C8B-B8A7-76311B6448AC}"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C10D-4018-9CDD-0FED4D853576}"/>
                </c:ext>
              </c:extLst>
            </c:dLbl>
            <c:dLbl>
              <c:idx val="12"/>
              <c:tx>
                <c:rich>
                  <a:bodyPr/>
                  <a:lstStyle/>
                  <a:p>
                    <a:fld id="{E215EC2A-51B4-4211-9783-9E99FEC20B4A}" type="CELLRANGE">
                      <a:rPr lang="en-IN"/>
                      <a:pPr/>
                      <a:t>[CELLRANGE]</a:t>
                    </a:fld>
                    <a:r>
                      <a:rPr lang="en-IN" baseline="0"/>
                      <a:t>, </a:t>
                    </a:r>
                    <a:fld id="{28FF585B-B3E9-4E4B-97E8-B51B4B38E670}" type="CATEGORYNAME">
                      <a:rPr lang="en-IN" baseline="0"/>
                      <a:pPr/>
                      <a:t>[CATEGORY NAME]</a:t>
                    </a:fld>
                    <a:r>
                      <a:rPr lang="en-IN" baseline="0"/>
                      <a:t>, </a:t>
                    </a:r>
                    <a:fld id="{DBD04665-6356-49CE-A367-CA79ECD7F80D}"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10D-4018-9CDD-0FED4D853576}"/>
                </c:ext>
              </c:extLst>
            </c:dLbl>
            <c:dLbl>
              <c:idx val="13"/>
              <c:tx>
                <c:rich>
                  <a:bodyPr/>
                  <a:lstStyle/>
                  <a:p>
                    <a:fld id="{074FEADF-A15D-4C6A-977A-C092AB41F695}" type="CELLRANGE">
                      <a:rPr lang="en-IN"/>
                      <a:pPr/>
                      <a:t>[CELLRANGE]</a:t>
                    </a:fld>
                    <a:r>
                      <a:rPr lang="en-IN" baseline="0"/>
                      <a:t>, </a:t>
                    </a:r>
                    <a:fld id="{0CC38884-75E1-44AD-AA45-4712083F0D28}" type="CATEGORYNAME">
                      <a:rPr lang="en-IN" baseline="0"/>
                      <a:pPr/>
                      <a:t>[CATEGORY NAME]</a:t>
                    </a:fld>
                    <a:r>
                      <a:rPr lang="en-IN" baseline="0"/>
                      <a:t>, </a:t>
                    </a:r>
                    <a:fld id="{845AAB95-E9D1-4A3F-A3D9-08DCFD7338EA}"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10D-4018-9CDD-0FED4D853576}"/>
                </c:ext>
              </c:extLst>
            </c:dLbl>
            <c:dLbl>
              <c:idx val="14"/>
              <c:tx>
                <c:rich>
                  <a:bodyPr/>
                  <a:lstStyle/>
                  <a:p>
                    <a:fld id="{7BC556FE-FA80-4B68-9341-DD4836B11BCB}" type="CELLRANGE">
                      <a:rPr lang="en-IN"/>
                      <a:pPr/>
                      <a:t>[CELLRANGE]</a:t>
                    </a:fld>
                    <a:r>
                      <a:rPr lang="en-IN" baseline="0"/>
                      <a:t>, </a:t>
                    </a:r>
                    <a:fld id="{37C3F0D9-568C-4C1E-8F1D-9CE0AA18A4BF}" type="CATEGORYNAME">
                      <a:rPr lang="en-IN" baseline="0"/>
                      <a:pPr/>
                      <a:t>[CATEGORY NAME]</a:t>
                    </a:fld>
                    <a:r>
                      <a:rPr lang="en-IN" baseline="0"/>
                      <a:t>, </a:t>
                    </a:r>
                    <a:fld id="{C53BA98B-13A5-4754-8E39-1A1D7B8EA368}"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10D-4018-9CDD-0FED4D853576}"/>
                </c:ext>
              </c:extLst>
            </c:dLbl>
            <c:dLbl>
              <c:idx val="15"/>
              <c:tx>
                <c:rich>
                  <a:bodyPr/>
                  <a:lstStyle/>
                  <a:p>
                    <a:fld id="{A3230F51-9745-42F9-AC2C-BC51D67C83AA}" type="CELLRANGE">
                      <a:rPr lang="en-IN"/>
                      <a:pPr/>
                      <a:t>[CELLRANGE]</a:t>
                    </a:fld>
                    <a:r>
                      <a:rPr lang="en-IN" baseline="0"/>
                      <a:t>, </a:t>
                    </a:r>
                    <a:fld id="{2DE95A38-8491-4A04-9E67-D33158EBB799}" type="CATEGORYNAME">
                      <a:rPr lang="en-IN" baseline="0"/>
                      <a:pPr/>
                      <a:t>[CATEGORY NAME]</a:t>
                    </a:fld>
                    <a:r>
                      <a:rPr lang="en-IN" baseline="0"/>
                      <a:t>, </a:t>
                    </a:r>
                    <a:fld id="{91D17BFE-F4DA-4299-8715-774F8D4A930D}"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10D-4018-9CDD-0FED4D853576}"/>
                </c:ext>
              </c:extLst>
            </c:dLbl>
            <c:dLbl>
              <c:idx val="16"/>
              <c:tx>
                <c:rich>
                  <a:bodyPr/>
                  <a:lstStyle/>
                  <a:p>
                    <a:fld id="{E4F319EB-C5FE-451C-9DAD-458747F7F8A6}" type="CELLRANGE">
                      <a:rPr lang="en-IN"/>
                      <a:pPr/>
                      <a:t>[CELLRANGE]</a:t>
                    </a:fld>
                    <a:r>
                      <a:rPr lang="en-IN" baseline="0"/>
                      <a:t>, </a:t>
                    </a:r>
                    <a:fld id="{23BFAF68-5012-46AA-B9B9-B0F8E24F47A7}" type="CATEGORYNAME">
                      <a:rPr lang="en-IN" baseline="0"/>
                      <a:pPr/>
                      <a:t>[CATEGORY NAME]</a:t>
                    </a:fld>
                    <a:r>
                      <a:rPr lang="en-IN" baseline="0"/>
                      <a:t>, </a:t>
                    </a:r>
                    <a:fld id="{C625A0C0-1C12-4EBC-BC0A-0096E373D5CA}"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10D-4018-9CDD-0FED4D853576}"/>
                </c:ext>
              </c:extLst>
            </c:dLbl>
            <c:dLbl>
              <c:idx val="17"/>
              <c:tx>
                <c:rich>
                  <a:bodyPr/>
                  <a:lstStyle/>
                  <a:p>
                    <a:fld id="{67034EF0-D2DE-4FC9-84E0-7A858D7D4033}" type="CELLRANGE">
                      <a:rPr lang="en-IN"/>
                      <a:pPr/>
                      <a:t>[CELLRANGE]</a:t>
                    </a:fld>
                    <a:r>
                      <a:rPr lang="en-IN" baseline="0"/>
                      <a:t>, </a:t>
                    </a:r>
                    <a:fld id="{48A37DEB-77BD-494A-8E1E-9B16BAC612C4}" type="CATEGORYNAME">
                      <a:rPr lang="en-IN" baseline="0"/>
                      <a:pPr/>
                      <a:t>[CATEGORY NAME]</a:t>
                    </a:fld>
                    <a:r>
                      <a:rPr lang="en-IN" baseline="0"/>
                      <a:t>, </a:t>
                    </a:r>
                    <a:fld id="{D9F7D11D-EA9C-45FC-98E6-B8792AA61804}"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C10D-4018-9CDD-0FED4D853576}"/>
                </c:ext>
              </c:extLst>
            </c:dLbl>
            <c:dLbl>
              <c:idx val="18"/>
              <c:tx>
                <c:rich>
                  <a:bodyPr/>
                  <a:lstStyle/>
                  <a:p>
                    <a:fld id="{E3A7B8E2-EC57-4DCC-8241-78D77C1D1B2E}" type="CELLRANGE">
                      <a:rPr lang="en-IN"/>
                      <a:pPr/>
                      <a:t>[CELLRANGE]</a:t>
                    </a:fld>
                    <a:r>
                      <a:rPr lang="en-IN" baseline="0"/>
                      <a:t>, </a:t>
                    </a:r>
                    <a:fld id="{27B9DA68-C5BA-4DB1-A4A5-8456E6A3D615}" type="CATEGORYNAME">
                      <a:rPr lang="en-IN" baseline="0"/>
                      <a:pPr/>
                      <a:t>[CATEGORY NAME]</a:t>
                    </a:fld>
                    <a:r>
                      <a:rPr lang="en-IN" baseline="0"/>
                      <a:t>, </a:t>
                    </a:r>
                    <a:fld id="{49E1292B-2145-47A1-AB6B-38549591535B}"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10D-4018-9CDD-0FED4D853576}"/>
                </c:ext>
              </c:extLst>
            </c:dLbl>
            <c:dLbl>
              <c:idx val="19"/>
              <c:tx>
                <c:rich>
                  <a:bodyPr/>
                  <a:lstStyle/>
                  <a:p>
                    <a:fld id="{D3B10C7E-0851-480E-80C7-B95A959008C7}" type="CELLRANGE">
                      <a:rPr lang="en-IN"/>
                      <a:pPr/>
                      <a:t>[CELLRANGE]</a:t>
                    </a:fld>
                    <a:r>
                      <a:rPr lang="en-IN" baseline="0"/>
                      <a:t>, </a:t>
                    </a:r>
                    <a:fld id="{1917099E-4943-43DE-BF86-E232FED82BFD}" type="CATEGORYNAME">
                      <a:rPr lang="en-IN" baseline="0"/>
                      <a:pPr/>
                      <a:t>[CATEGORY NAME]</a:t>
                    </a:fld>
                    <a:r>
                      <a:rPr lang="en-IN" baseline="0"/>
                      <a:t>, </a:t>
                    </a:r>
                    <a:fld id="{A4F7E088-9515-4625-B894-660A2724ADFC}"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10D-4018-9CDD-0FED4D853576}"/>
                </c:ext>
              </c:extLst>
            </c:dLbl>
            <c:dLbl>
              <c:idx val="20"/>
              <c:tx>
                <c:rich>
                  <a:bodyPr/>
                  <a:lstStyle/>
                  <a:p>
                    <a:fld id="{DFAB9697-57BF-4F10-BB77-F47918D2EC8D}" type="CELLRANGE">
                      <a:rPr lang="en-IN"/>
                      <a:pPr/>
                      <a:t>[CELLRANGE]</a:t>
                    </a:fld>
                    <a:r>
                      <a:rPr lang="en-IN" baseline="0"/>
                      <a:t>, </a:t>
                    </a:r>
                    <a:fld id="{A1F763EA-C189-44EB-8034-9D24BD1D865B}" type="CATEGORYNAME">
                      <a:rPr lang="en-IN" baseline="0"/>
                      <a:pPr/>
                      <a:t>[CATEGORY NAME]</a:t>
                    </a:fld>
                    <a:r>
                      <a:rPr lang="en-IN" baseline="0"/>
                      <a:t>, </a:t>
                    </a:r>
                    <a:fld id="{0D70CFD4-AAC2-468B-A0D7-E9C958D2B23F}"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10D-4018-9CDD-0FED4D853576}"/>
                </c:ext>
              </c:extLst>
            </c:dLbl>
            <c:dLbl>
              <c:idx val="21"/>
              <c:tx>
                <c:rich>
                  <a:bodyPr/>
                  <a:lstStyle/>
                  <a:p>
                    <a:fld id="{F61F0F21-E041-4296-BCFE-5EC6A35E1E89}" type="CELLRANGE">
                      <a:rPr lang="en-IN"/>
                      <a:pPr/>
                      <a:t>[CELLRANGE]</a:t>
                    </a:fld>
                    <a:r>
                      <a:rPr lang="en-IN" baseline="0"/>
                      <a:t>, </a:t>
                    </a:r>
                    <a:fld id="{F32318A4-5A10-40AD-BA3A-2F73387AF7FC}" type="CATEGORYNAME">
                      <a:rPr lang="en-IN" baseline="0"/>
                      <a:pPr/>
                      <a:t>[CATEGORY NAME]</a:t>
                    </a:fld>
                    <a:r>
                      <a:rPr lang="en-IN" baseline="0"/>
                      <a:t>, </a:t>
                    </a:r>
                    <a:fld id="{B14420B9-0077-4B74-98AE-F915579A2D77}"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10D-4018-9CDD-0FED4D853576}"/>
                </c:ext>
              </c:extLst>
            </c:dLbl>
            <c:dLbl>
              <c:idx val="22"/>
              <c:tx>
                <c:rich>
                  <a:bodyPr/>
                  <a:lstStyle/>
                  <a:p>
                    <a:fld id="{F7BF9B73-BB52-461E-A69F-000B3ACFA10A}" type="CELLRANGE">
                      <a:rPr lang="en-IN"/>
                      <a:pPr/>
                      <a:t>[CELLRANGE]</a:t>
                    </a:fld>
                    <a:r>
                      <a:rPr lang="en-IN" baseline="0"/>
                      <a:t>, </a:t>
                    </a:r>
                    <a:fld id="{CD42D836-89C2-4767-9DCC-82B00A12551E}" type="CATEGORYNAME">
                      <a:rPr lang="en-IN" baseline="0"/>
                      <a:pPr/>
                      <a:t>[CATEGORY NAME]</a:t>
                    </a:fld>
                    <a:r>
                      <a:rPr lang="en-IN" baseline="0"/>
                      <a:t>, </a:t>
                    </a:r>
                    <a:fld id="{3ED70AFC-39FB-41C1-8553-17F58D37F983}"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10D-4018-9CDD-0FED4D853576}"/>
                </c:ext>
              </c:extLst>
            </c:dLbl>
            <c:dLbl>
              <c:idx val="23"/>
              <c:tx>
                <c:rich>
                  <a:bodyPr/>
                  <a:lstStyle/>
                  <a:p>
                    <a:fld id="{D28A8618-3447-4C08-9910-9EC75100A377}" type="CELLRANGE">
                      <a:rPr lang="en-IN"/>
                      <a:pPr/>
                      <a:t>[CELLRANGE]</a:t>
                    </a:fld>
                    <a:r>
                      <a:rPr lang="en-IN" baseline="0"/>
                      <a:t>, </a:t>
                    </a:r>
                    <a:fld id="{00151EFE-1C73-41E4-B22C-F6DC0D7719F4}" type="CATEGORYNAME">
                      <a:rPr lang="en-IN" baseline="0"/>
                      <a:pPr/>
                      <a:t>[CATEGORY NAME]</a:t>
                    </a:fld>
                    <a:r>
                      <a:rPr lang="en-IN" baseline="0"/>
                      <a:t>, </a:t>
                    </a:r>
                    <a:fld id="{7CF9F9AA-2FA0-4977-BCF2-0A27543962F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C10D-4018-9CDD-0FED4D853576}"/>
                </c:ext>
              </c:extLst>
            </c:dLbl>
            <c:dLbl>
              <c:idx val="24"/>
              <c:tx>
                <c:rich>
                  <a:bodyPr/>
                  <a:lstStyle/>
                  <a:p>
                    <a:fld id="{F8AC0DA7-9398-437B-99AC-6C8C3DAA97C3}" type="CELLRANGE">
                      <a:rPr lang="en-IN"/>
                      <a:pPr/>
                      <a:t>[CELLRANGE]</a:t>
                    </a:fld>
                    <a:r>
                      <a:rPr lang="en-IN" baseline="0"/>
                      <a:t>, </a:t>
                    </a:r>
                    <a:fld id="{E8ECF780-04F0-453C-A2DA-AB3BBE4CD116}" type="CATEGORYNAME">
                      <a:rPr lang="en-IN" baseline="0"/>
                      <a:pPr/>
                      <a:t>[CATEGORY NAME]</a:t>
                    </a:fld>
                    <a:r>
                      <a:rPr lang="en-IN" baseline="0"/>
                      <a:t>, </a:t>
                    </a:r>
                    <a:fld id="{5F48D83B-C8A3-4B83-A32D-E0B3960348E9}"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C10D-4018-9CDD-0FED4D853576}"/>
                </c:ext>
              </c:extLst>
            </c:dLbl>
            <c:dLbl>
              <c:idx val="25"/>
              <c:tx>
                <c:rich>
                  <a:bodyPr/>
                  <a:lstStyle/>
                  <a:p>
                    <a:fld id="{E1E7EF94-BB8B-42B4-8970-CA592D5FAE22}" type="CELLRANGE">
                      <a:rPr lang="en-IN"/>
                      <a:pPr/>
                      <a:t>[CELLRANGE]</a:t>
                    </a:fld>
                    <a:r>
                      <a:rPr lang="en-IN" baseline="0"/>
                      <a:t>, </a:t>
                    </a:r>
                    <a:fld id="{54F07CCB-F2C7-44F6-8297-2C6C59912B15}" type="CATEGORYNAME">
                      <a:rPr lang="en-IN" baseline="0"/>
                      <a:pPr/>
                      <a:t>[CATEGORY NAME]</a:t>
                    </a:fld>
                    <a:r>
                      <a:rPr lang="en-IN" baseline="0"/>
                      <a:t>, </a:t>
                    </a:r>
                    <a:fld id="{D15A199E-114A-421A-AE3E-4A07BA2A2648}"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C10D-4018-9CDD-0FED4D853576}"/>
                </c:ext>
              </c:extLst>
            </c:dLbl>
            <c:dLbl>
              <c:idx val="26"/>
              <c:tx>
                <c:rich>
                  <a:bodyPr/>
                  <a:lstStyle/>
                  <a:p>
                    <a:fld id="{5A0FE0DF-88F1-4963-AA3E-400187562B0C}" type="CELLRANGE">
                      <a:rPr lang="en-IN"/>
                      <a:pPr/>
                      <a:t>[CELLRANGE]</a:t>
                    </a:fld>
                    <a:r>
                      <a:rPr lang="en-IN" baseline="0"/>
                      <a:t>, </a:t>
                    </a:r>
                    <a:fld id="{3611B110-87FB-4AC3-A903-6D07F37DCE91}" type="CATEGORYNAME">
                      <a:rPr lang="en-IN" baseline="0"/>
                      <a:pPr/>
                      <a:t>[CATEGORY NAME]</a:t>
                    </a:fld>
                    <a:r>
                      <a:rPr lang="en-IN" baseline="0"/>
                      <a:t>, </a:t>
                    </a:r>
                    <a:fld id="{B5F0D7EF-2F3F-4ACA-877C-889EAA5354C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C10D-4018-9CDD-0FED4D853576}"/>
                </c:ext>
              </c:extLst>
            </c:dLbl>
            <c:dLbl>
              <c:idx val="27"/>
              <c:tx>
                <c:rich>
                  <a:bodyPr/>
                  <a:lstStyle/>
                  <a:p>
                    <a:fld id="{2FB5F9FA-2DCB-4C07-A745-8993FA547AA5}" type="CELLRANGE">
                      <a:rPr lang="en-IN"/>
                      <a:pPr/>
                      <a:t>[CELLRANGE]</a:t>
                    </a:fld>
                    <a:r>
                      <a:rPr lang="en-IN" baseline="0"/>
                      <a:t>, </a:t>
                    </a:r>
                    <a:fld id="{19B63C18-00F5-4506-BCDE-21DF492473B5}" type="CATEGORYNAME">
                      <a:rPr lang="en-IN" baseline="0"/>
                      <a:pPr/>
                      <a:t>[CATEGORY NAME]</a:t>
                    </a:fld>
                    <a:r>
                      <a:rPr lang="en-IN" baseline="0"/>
                      <a:t>, </a:t>
                    </a:r>
                    <a:fld id="{27FC7F3C-2137-4C7D-873D-608A05655B53}"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C10D-4018-9CDD-0FED4D853576}"/>
                </c:ext>
              </c:extLst>
            </c:dLbl>
            <c:dLbl>
              <c:idx val="28"/>
              <c:tx>
                <c:rich>
                  <a:bodyPr/>
                  <a:lstStyle/>
                  <a:p>
                    <a:fld id="{2FB2C4E7-A256-4633-B862-F3CE1B9A0F57}" type="CELLRANGE">
                      <a:rPr lang="en-IN"/>
                      <a:pPr/>
                      <a:t>[CELLRANGE]</a:t>
                    </a:fld>
                    <a:r>
                      <a:rPr lang="en-IN" baseline="0"/>
                      <a:t>, </a:t>
                    </a:r>
                    <a:fld id="{AA64A41A-809E-453D-9E2E-92BEE6E6707C}" type="CATEGORYNAME">
                      <a:rPr lang="en-IN" baseline="0"/>
                      <a:pPr/>
                      <a:t>[CATEGORY NAME]</a:t>
                    </a:fld>
                    <a:r>
                      <a:rPr lang="en-IN" baseline="0"/>
                      <a:t>, </a:t>
                    </a:r>
                    <a:fld id="{E6A9E772-F2F0-4613-BABE-FFEB573841DC}"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C10D-4018-9CDD-0FED4D853576}"/>
                </c:ext>
              </c:extLst>
            </c:dLbl>
            <c:dLbl>
              <c:idx val="29"/>
              <c:tx>
                <c:rich>
                  <a:bodyPr/>
                  <a:lstStyle/>
                  <a:p>
                    <a:fld id="{5EE7CCB7-32CD-46D2-A50D-C75BF7FE696B}" type="CELLRANGE">
                      <a:rPr lang="en-IN"/>
                      <a:pPr/>
                      <a:t>[CELLRANGE]</a:t>
                    </a:fld>
                    <a:r>
                      <a:rPr lang="en-IN" baseline="0"/>
                      <a:t>, </a:t>
                    </a:r>
                    <a:fld id="{F835EDAC-705E-4DE9-87F5-6D2446CD78B2}" type="CATEGORYNAME">
                      <a:rPr lang="en-IN" baseline="0"/>
                      <a:pPr/>
                      <a:t>[CATEGORY NAME]</a:t>
                    </a:fld>
                    <a:r>
                      <a:rPr lang="en-IN" baseline="0"/>
                      <a:t>, </a:t>
                    </a:r>
                    <a:fld id="{EC9AF84C-A656-48F0-97BC-420F72E0311F}"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C10D-4018-9CDD-0FED4D853576}"/>
                </c:ext>
              </c:extLst>
            </c:dLbl>
            <c:dLbl>
              <c:idx val="30"/>
              <c:tx>
                <c:rich>
                  <a:bodyPr/>
                  <a:lstStyle/>
                  <a:p>
                    <a:fld id="{1A06FC58-4253-4BDD-B4B9-F49F2111929C}" type="CELLRANGE">
                      <a:rPr lang="en-IN"/>
                      <a:pPr/>
                      <a:t>[CELLRANGE]</a:t>
                    </a:fld>
                    <a:r>
                      <a:rPr lang="en-IN" baseline="0"/>
                      <a:t>, </a:t>
                    </a:r>
                    <a:fld id="{F290D7DB-8E3C-4261-AB43-334BB37A61FB}" type="CATEGORYNAME">
                      <a:rPr lang="en-IN" baseline="0"/>
                      <a:pPr/>
                      <a:t>[CATEGORY NAME]</a:t>
                    </a:fld>
                    <a:r>
                      <a:rPr lang="en-IN" baseline="0"/>
                      <a:t>, </a:t>
                    </a:r>
                    <a:fld id="{2DD6D95A-F58D-454A-823D-D82F1238860D}"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C10D-4018-9CDD-0FED4D853576}"/>
                </c:ext>
              </c:extLst>
            </c:dLbl>
            <c:dLbl>
              <c:idx val="31"/>
              <c:tx>
                <c:rich>
                  <a:bodyPr/>
                  <a:lstStyle/>
                  <a:p>
                    <a:fld id="{77614F07-9CAB-4640-B471-65FA08B1BC97}" type="CELLRANGE">
                      <a:rPr lang="en-IN"/>
                      <a:pPr/>
                      <a:t>[CELLRANGE]</a:t>
                    </a:fld>
                    <a:r>
                      <a:rPr lang="en-IN" baseline="0"/>
                      <a:t>, </a:t>
                    </a:r>
                    <a:fld id="{10ECCAD5-37DF-4676-9672-E394CC093E8F}" type="CATEGORYNAME">
                      <a:rPr lang="en-IN" baseline="0"/>
                      <a:pPr/>
                      <a:t>[CATEGORY NAME]</a:t>
                    </a:fld>
                    <a:r>
                      <a:rPr lang="en-IN" baseline="0"/>
                      <a:t>, </a:t>
                    </a:r>
                    <a:fld id="{F5543F2C-2BDF-4F21-B255-0D62F80BCE54}"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C10D-4018-9CDD-0FED4D853576}"/>
                </c:ext>
              </c:extLst>
            </c:dLbl>
            <c:dLbl>
              <c:idx val="32"/>
              <c:tx>
                <c:rich>
                  <a:bodyPr/>
                  <a:lstStyle/>
                  <a:p>
                    <a:fld id="{25057210-B9F0-420D-B12C-4F8F46E6B213}" type="CELLRANGE">
                      <a:rPr lang="en-IN"/>
                      <a:pPr/>
                      <a:t>[CELLRANGE]</a:t>
                    </a:fld>
                    <a:r>
                      <a:rPr lang="en-IN" baseline="0"/>
                      <a:t>, </a:t>
                    </a:r>
                    <a:fld id="{35DEDBD8-4EC5-4E70-8D02-36B99A7B93A3}" type="CATEGORYNAME">
                      <a:rPr lang="en-IN" baseline="0"/>
                      <a:pPr/>
                      <a:t>[CATEGORY NAME]</a:t>
                    </a:fld>
                    <a:r>
                      <a:rPr lang="en-IN" baseline="0"/>
                      <a:t>, </a:t>
                    </a:r>
                    <a:fld id="{C5073BD6-9C97-40A6-B00C-66CC1732092F}"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C10D-4018-9CDD-0FED4D853576}"/>
                </c:ext>
              </c:extLst>
            </c:dLbl>
            <c:dLbl>
              <c:idx val="33"/>
              <c:tx>
                <c:rich>
                  <a:bodyPr/>
                  <a:lstStyle/>
                  <a:p>
                    <a:fld id="{7584AFEC-474C-48F7-AFBE-35E303E0A60C}" type="CELLRANGE">
                      <a:rPr lang="en-IN"/>
                      <a:pPr/>
                      <a:t>[CELLRANGE]</a:t>
                    </a:fld>
                    <a:r>
                      <a:rPr lang="en-IN" baseline="0"/>
                      <a:t>, </a:t>
                    </a:r>
                    <a:fld id="{9FB7F325-04CC-40DE-87DF-532DEC739E33}" type="CATEGORYNAME">
                      <a:rPr lang="en-IN" baseline="0"/>
                      <a:pPr/>
                      <a:t>[CATEGORY NAME]</a:t>
                    </a:fld>
                    <a:r>
                      <a:rPr lang="en-IN" baseline="0"/>
                      <a:t>, </a:t>
                    </a:r>
                    <a:fld id="{9BD77C30-332B-4C8E-A6ED-957CB67C529E}"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C10D-4018-9CDD-0FED4D853576}"/>
                </c:ext>
              </c:extLst>
            </c:dLbl>
            <c:dLbl>
              <c:idx val="34"/>
              <c:tx>
                <c:rich>
                  <a:bodyPr/>
                  <a:lstStyle/>
                  <a:p>
                    <a:fld id="{B825F158-DF48-42FC-AD4A-557B7CCAF25C}" type="CELLRANGE">
                      <a:rPr lang="en-IN"/>
                      <a:pPr/>
                      <a:t>[CELLRANGE]</a:t>
                    </a:fld>
                    <a:r>
                      <a:rPr lang="en-IN" baseline="0"/>
                      <a:t>, </a:t>
                    </a:r>
                    <a:fld id="{10082E89-859D-40DE-8581-3E5686AAC9BB}" type="CATEGORYNAME">
                      <a:rPr lang="en-IN" baseline="0"/>
                      <a:pPr/>
                      <a:t>[CATEGORY NAME]</a:t>
                    </a:fld>
                    <a:r>
                      <a:rPr lang="en-IN" baseline="0"/>
                      <a:t>, </a:t>
                    </a:r>
                    <a:fld id="{6B2BA32E-88E5-42DB-9E4D-F3841585D475}"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C10D-4018-9CDD-0FED4D853576}"/>
                </c:ext>
              </c:extLst>
            </c:dLbl>
            <c:dLbl>
              <c:idx val="35"/>
              <c:tx>
                <c:rich>
                  <a:bodyPr/>
                  <a:lstStyle/>
                  <a:p>
                    <a:fld id="{4219E3F4-3736-4B8A-BB97-8985425D75C5}" type="CELLRANGE">
                      <a:rPr lang="en-IN"/>
                      <a:pPr/>
                      <a:t>[CELLRANGE]</a:t>
                    </a:fld>
                    <a:r>
                      <a:rPr lang="en-IN" baseline="0"/>
                      <a:t>, </a:t>
                    </a:r>
                    <a:fld id="{0809BE8C-3A6E-4F60-A18F-06679917075E}" type="CATEGORYNAME">
                      <a:rPr lang="en-IN" baseline="0"/>
                      <a:pPr/>
                      <a:t>[CATEGORY NAME]</a:t>
                    </a:fld>
                    <a:r>
                      <a:rPr lang="en-IN" baseline="0"/>
                      <a:t>, </a:t>
                    </a:r>
                    <a:fld id="{D8C862E2-6106-4A17-803F-5913195C759B}"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C10D-4018-9CDD-0FED4D853576}"/>
                </c:ext>
              </c:extLst>
            </c:dLbl>
            <c:dLbl>
              <c:idx val="36"/>
              <c:tx>
                <c:rich>
                  <a:bodyPr/>
                  <a:lstStyle/>
                  <a:p>
                    <a:fld id="{547EEE79-8E49-4466-B0D2-7414FBBDA570}" type="CELLRANGE">
                      <a:rPr lang="en-IN"/>
                      <a:pPr/>
                      <a:t>[CELLRANGE]</a:t>
                    </a:fld>
                    <a:r>
                      <a:rPr lang="en-IN" baseline="0"/>
                      <a:t>, </a:t>
                    </a:r>
                    <a:fld id="{383AAE9D-0147-4294-B687-D3DEE98777D9}" type="CATEGORYNAME">
                      <a:rPr lang="en-IN" baseline="0"/>
                      <a:pPr/>
                      <a:t>[CATEGORY NAME]</a:t>
                    </a:fld>
                    <a:r>
                      <a:rPr lang="en-IN" baseline="0"/>
                      <a:t>, </a:t>
                    </a:r>
                    <a:fld id="{B7D8DEA8-5D62-4292-B9F1-3AE37ECCC9BB}"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C10D-4018-9CDD-0FED4D853576}"/>
                </c:ext>
              </c:extLst>
            </c:dLbl>
            <c:dLbl>
              <c:idx val="37"/>
              <c:tx>
                <c:rich>
                  <a:bodyPr/>
                  <a:lstStyle/>
                  <a:p>
                    <a:fld id="{11F842D3-6E48-4689-BBD0-8EC79BEE26CB}" type="CELLRANGE">
                      <a:rPr lang="en-IN"/>
                      <a:pPr/>
                      <a:t>[CELLRANGE]</a:t>
                    </a:fld>
                    <a:r>
                      <a:rPr lang="en-IN" baseline="0"/>
                      <a:t>, </a:t>
                    </a:r>
                    <a:fld id="{6785C939-5D9B-48C2-982E-052FC0A3CB87}" type="CATEGORYNAME">
                      <a:rPr lang="en-IN" baseline="0"/>
                      <a:pPr/>
                      <a:t>[CATEGORY NAME]</a:t>
                    </a:fld>
                    <a:r>
                      <a:rPr lang="en-IN" baseline="0"/>
                      <a:t>, </a:t>
                    </a:r>
                    <a:fld id="{16672A00-F6AC-42B4-88A8-33C265EE65E1}"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C10D-4018-9CDD-0FED4D853576}"/>
                </c:ext>
              </c:extLst>
            </c:dLbl>
            <c:dLbl>
              <c:idx val="38"/>
              <c:tx>
                <c:rich>
                  <a:bodyPr/>
                  <a:lstStyle/>
                  <a:p>
                    <a:fld id="{E3BD068C-506D-467E-8D7D-D72911E4FCCE}" type="CELLRANGE">
                      <a:rPr lang="en-IN"/>
                      <a:pPr/>
                      <a:t>[CELLRANGE]</a:t>
                    </a:fld>
                    <a:r>
                      <a:rPr lang="en-IN" baseline="0"/>
                      <a:t>, </a:t>
                    </a:r>
                    <a:fld id="{3FCA77B2-0FC6-482D-8C01-69256B5ED30C}" type="CATEGORYNAME">
                      <a:rPr lang="en-IN" baseline="0"/>
                      <a:pPr/>
                      <a:t>[CATEGORY NAME]</a:t>
                    </a:fld>
                    <a:r>
                      <a:rPr lang="en-IN" baseline="0"/>
                      <a:t>, </a:t>
                    </a:r>
                    <a:fld id="{B2AF4B45-A51C-44A4-A32F-2ACB6B1566F5}"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C10D-4018-9CDD-0FED4D853576}"/>
                </c:ext>
              </c:extLst>
            </c:dLbl>
            <c:dLbl>
              <c:idx val="39"/>
              <c:tx>
                <c:rich>
                  <a:bodyPr/>
                  <a:lstStyle/>
                  <a:p>
                    <a:fld id="{544DC86A-A2DE-489E-9B27-933F357D52F8}" type="CELLRANGE">
                      <a:rPr lang="en-IN"/>
                      <a:pPr/>
                      <a:t>[CELLRANGE]</a:t>
                    </a:fld>
                    <a:r>
                      <a:rPr lang="en-IN" baseline="0"/>
                      <a:t>, </a:t>
                    </a:r>
                    <a:fld id="{E9B41C09-69B7-4962-84A4-3CDB7A2F7F86}" type="CATEGORYNAME">
                      <a:rPr lang="en-IN" baseline="0"/>
                      <a:pPr/>
                      <a:t>[CATEGORY NAME]</a:t>
                    </a:fld>
                    <a:r>
                      <a:rPr lang="en-IN" baseline="0"/>
                      <a:t>, </a:t>
                    </a:r>
                    <a:fld id="{A63A3175-4B3C-4CA3-9FF3-695D8A4616B1}"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C10D-4018-9CDD-0FED4D853576}"/>
                </c:ext>
              </c:extLst>
            </c:dLbl>
            <c:dLbl>
              <c:idx val="40"/>
              <c:tx>
                <c:rich>
                  <a:bodyPr/>
                  <a:lstStyle/>
                  <a:p>
                    <a:fld id="{26346CB9-D430-4949-8CBD-11D6A82B61B6}" type="CELLRANGE">
                      <a:rPr lang="en-IN"/>
                      <a:pPr/>
                      <a:t>[CELLRANGE]</a:t>
                    </a:fld>
                    <a:r>
                      <a:rPr lang="en-IN" baseline="0"/>
                      <a:t>, </a:t>
                    </a:r>
                    <a:fld id="{2164741E-AB77-4964-93A0-45BA4E787424}" type="CATEGORYNAME">
                      <a:rPr lang="en-IN" baseline="0"/>
                      <a:pPr/>
                      <a:t>[CATEGORY NAME]</a:t>
                    </a:fld>
                    <a:r>
                      <a:rPr lang="en-IN" baseline="0"/>
                      <a:t>, </a:t>
                    </a:r>
                    <a:fld id="{898D87F4-2271-4F04-9B9E-548F18916E2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C10D-4018-9CDD-0FED4D853576}"/>
                </c:ext>
              </c:extLst>
            </c:dLbl>
            <c:dLbl>
              <c:idx val="41"/>
              <c:tx>
                <c:rich>
                  <a:bodyPr/>
                  <a:lstStyle/>
                  <a:p>
                    <a:fld id="{8ED6D3FE-9340-4B87-BCB9-663C3DE55478}" type="CELLRANGE">
                      <a:rPr lang="en-IN"/>
                      <a:pPr/>
                      <a:t>[CELLRANGE]</a:t>
                    </a:fld>
                    <a:r>
                      <a:rPr lang="en-IN" baseline="0"/>
                      <a:t>, </a:t>
                    </a:r>
                    <a:fld id="{8AA5BDDC-4724-4CDE-8EEC-C034C1A196E6}" type="CATEGORYNAME">
                      <a:rPr lang="en-IN" baseline="0"/>
                      <a:pPr/>
                      <a:t>[CATEGORY NAME]</a:t>
                    </a:fld>
                    <a:r>
                      <a:rPr lang="en-IN" baseline="0"/>
                      <a:t>, </a:t>
                    </a:r>
                    <a:fld id="{088160D4-F932-4994-897A-D8793C81BC2A}"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C10D-4018-9CDD-0FED4D853576}"/>
                </c:ext>
              </c:extLst>
            </c:dLbl>
            <c:dLbl>
              <c:idx val="42"/>
              <c:tx>
                <c:rich>
                  <a:bodyPr/>
                  <a:lstStyle/>
                  <a:p>
                    <a:fld id="{00C5FACC-74B1-49A8-9ED5-93E7C67D0304}" type="CELLRANGE">
                      <a:rPr lang="en-IN"/>
                      <a:pPr/>
                      <a:t>[CELLRANGE]</a:t>
                    </a:fld>
                    <a:r>
                      <a:rPr lang="en-IN" baseline="0"/>
                      <a:t>, </a:t>
                    </a:r>
                    <a:fld id="{56277B23-840A-4DAD-8925-87CB02915A60}" type="CATEGORYNAME">
                      <a:rPr lang="en-IN" baseline="0"/>
                      <a:pPr/>
                      <a:t>[CATEGORY NAME]</a:t>
                    </a:fld>
                    <a:r>
                      <a:rPr lang="en-IN" baseline="0"/>
                      <a:t>, </a:t>
                    </a:r>
                    <a:fld id="{A8527B49-1A8A-4B3B-BE05-CD180D47360E}"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C10D-4018-9CDD-0FED4D853576}"/>
                </c:ext>
              </c:extLst>
            </c:dLbl>
            <c:dLbl>
              <c:idx val="43"/>
              <c:tx>
                <c:rich>
                  <a:bodyPr/>
                  <a:lstStyle/>
                  <a:p>
                    <a:fld id="{EEBB76EF-F4FC-4B88-8A88-1AD4A7D928E5}" type="CELLRANGE">
                      <a:rPr lang="en-IN"/>
                      <a:pPr/>
                      <a:t>[CELLRANGE]</a:t>
                    </a:fld>
                    <a:r>
                      <a:rPr lang="en-IN" baseline="0"/>
                      <a:t>, </a:t>
                    </a:r>
                    <a:fld id="{C1BA213C-F6EE-4D6F-9E95-632DC5A4764B}" type="CATEGORYNAME">
                      <a:rPr lang="en-IN" baseline="0"/>
                      <a:pPr/>
                      <a:t>[CATEGORY NAME]</a:t>
                    </a:fld>
                    <a:r>
                      <a:rPr lang="en-IN" baseline="0"/>
                      <a:t>, </a:t>
                    </a:r>
                    <a:fld id="{EF2665E7-1273-40A9-A36F-CA017E997977}"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C10D-4018-9CDD-0FED4D853576}"/>
                </c:ext>
              </c:extLst>
            </c:dLbl>
            <c:dLbl>
              <c:idx val="44"/>
              <c:tx>
                <c:rich>
                  <a:bodyPr/>
                  <a:lstStyle/>
                  <a:p>
                    <a:fld id="{7BCBFEDA-27CD-4859-8545-541B267A3122}" type="CELLRANGE">
                      <a:rPr lang="en-IN"/>
                      <a:pPr/>
                      <a:t>[CELLRANGE]</a:t>
                    </a:fld>
                    <a:r>
                      <a:rPr lang="en-IN" baseline="0"/>
                      <a:t>, </a:t>
                    </a:r>
                    <a:fld id="{5D082E98-8C24-4B8A-8125-0AA53D726F85}" type="CATEGORYNAME">
                      <a:rPr lang="en-IN" baseline="0"/>
                      <a:pPr/>
                      <a:t>[CATEGORY NAME]</a:t>
                    </a:fld>
                    <a:r>
                      <a:rPr lang="en-IN" baseline="0"/>
                      <a:t>, </a:t>
                    </a:r>
                    <a:fld id="{38478B3F-318F-46C6-899F-69E4DBD621D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C10D-4018-9CDD-0FED4D853576}"/>
                </c:ext>
              </c:extLst>
            </c:dLbl>
            <c:dLbl>
              <c:idx val="45"/>
              <c:tx>
                <c:rich>
                  <a:bodyPr/>
                  <a:lstStyle/>
                  <a:p>
                    <a:fld id="{E1F73612-9347-45E0-9003-C14A1AC98918}" type="CELLRANGE">
                      <a:rPr lang="en-IN"/>
                      <a:pPr/>
                      <a:t>[CELLRANGE]</a:t>
                    </a:fld>
                    <a:r>
                      <a:rPr lang="en-IN" baseline="0"/>
                      <a:t>, </a:t>
                    </a:r>
                    <a:fld id="{B5FBE7C4-563E-437A-B980-E2DED511466C}" type="CATEGORYNAME">
                      <a:rPr lang="en-IN" baseline="0"/>
                      <a:pPr/>
                      <a:t>[CATEGORY NAME]</a:t>
                    </a:fld>
                    <a:r>
                      <a:rPr lang="en-IN" baseline="0"/>
                      <a:t>, </a:t>
                    </a:r>
                    <a:fld id="{B5810386-454C-414B-8E84-F45E38345DE5}"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C10D-4018-9CDD-0FED4D853576}"/>
                </c:ext>
              </c:extLst>
            </c:dLbl>
            <c:dLbl>
              <c:idx val="46"/>
              <c:tx>
                <c:rich>
                  <a:bodyPr/>
                  <a:lstStyle/>
                  <a:p>
                    <a:fld id="{D36ECD9C-5969-4721-BDB8-B46F114FEB44}" type="CELLRANGE">
                      <a:rPr lang="en-IN"/>
                      <a:pPr/>
                      <a:t>[CELLRANGE]</a:t>
                    </a:fld>
                    <a:r>
                      <a:rPr lang="en-IN" baseline="0"/>
                      <a:t>, </a:t>
                    </a:r>
                    <a:fld id="{E8E4CAFC-E789-4C6F-B228-BEAACFCE1946}" type="CATEGORYNAME">
                      <a:rPr lang="en-IN" baseline="0"/>
                      <a:pPr/>
                      <a:t>[CATEGORY NAME]</a:t>
                    </a:fld>
                    <a:r>
                      <a:rPr lang="en-IN" baseline="0"/>
                      <a:t>, </a:t>
                    </a:r>
                    <a:fld id="{50CDE758-C20B-47B2-9FDC-11CF55AFEA8E}"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C10D-4018-9CDD-0FED4D853576}"/>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val>
            <c:numRef>
              <c:f>'Dynamic Data-RE'!$G$7:$G$53</c:f>
              <c:numCache>
                <c:formatCode>General</c:formatCode>
                <c:ptCount val="47"/>
                <c:pt idx="0">
                  <c:v>0.10166600000000001</c:v>
                </c:pt>
                <c:pt idx="1">
                  <c:v>0.33692499999999997</c:v>
                </c:pt>
                <c:pt idx="2">
                  <c:v>0.86963500000000005</c:v>
                </c:pt>
                <c:pt idx="3" formatCode="0.00">
                  <c:v>0.93711100756847376</c:v>
                </c:pt>
                <c:pt idx="4">
                  <c:v>0</c:v>
                </c:pt>
                <c:pt idx="5" formatCode="0.0000">
                  <c:v>1.029935</c:v>
                </c:pt>
                <c:pt idx="6" formatCode="0.0000">
                  <c:v>1.1000000000000001</c:v>
                </c:pt>
                <c:pt idx="7" formatCode="0.0000">
                  <c:v>9.9999999999999995E-7</c:v>
                </c:pt>
                <c:pt idx="8" formatCode="0.0000">
                  <c:v>1.1000000000004551</c:v>
                </c:pt>
                <c:pt idx="9">
                  <c:v>0</c:v>
                </c:pt>
                <c:pt idx="10">
                  <c:v>0.6</c:v>
                </c:pt>
                <c:pt idx="11" formatCode="0.0000">
                  <c:v>0.586696</c:v>
                </c:pt>
                <c:pt idx="12">
                  <c:v>0</c:v>
                </c:pt>
                <c:pt idx="13">
                  <c:v>0</c:v>
                </c:pt>
                <c:pt idx="14">
                  <c:v>0</c:v>
                </c:pt>
                <c:pt idx="15">
                  <c:v>0</c:v>
                </c:pt>
                <c:pt idx="16" formatCode="0.0000">
                  <c:v>42.294609999999999</c:v>
                </c:pt>
                <c:pt idx="17" formatCode="0.0000">
                  <c:v>1.755137179194834</c:v>
                </c:pt>
                <c:pt idx="18" formatCode="0.0000">
                  <c:v>5.2422000000000003E-2</c:v>
                </c:pt>
                <c:pt idx="19" formatCode="0.0000">
                  <c:v>0.28768100000000002</c:v>
                </c:pt>
                <c:pt idx="20" formatCode="0.0000">
                  <c:v>0.54343200000000003</c:v>
                </c:pt>
                <c:pt idx="21" formatCode="0.0000">
                  <c:v>0.61739937580872239</c:v>
                </c:pt>
                <c:pt idx="22" formatCode="0.0000">
                  <c:v>4.9199700000000002</c:v>
                </c:pt>
                <c:pt idx="23" formatCode="0.0000">
                  <c:v>0.62619800000000003</c:v>
                </c:pt>
                <c:pt idx="24" formatCode="0.0000">
                  <c:v>0.68438500000000002</c:v>
                </c:pt>
                <c:pt idx="25" formatCode="0.0000">
                  <c:v>0.84745700000000002</c:v>
                </c:pt>
                <c:pt idx="26" formatCode="0.0000">
                  <c:v>1.098712379321358</c:v>
                </c:pt>
                <c:pt idx="27" formatCode="0.0000">
                  <c:v>67.480699999999999</c:v>
                </c:pt>
                <c:pt idx="28" formatCode="0.0000">
                  <c:v>0.586696</c:v>
                </c:pt>
                <c:pt idx="29">
                  <c:v>0</c:v>
                </c:pt>
                <c:pt idx="30">
                  <c:v>0</c:v>
                </c:pt>
                <c:pt idx="31">
                  <c:v>0</c:v>
                </c:pt>
                <c:pt idx="32">
                  <c:v>0</c:v>
                </c:pt>
                <c:pt idx="33" formatCode="0.0000">
                  <c:v>51.014110000000002</c:v>
                </c:pt>
                <c:pt idx="34" formatCode="0.0000">
                  <c:v>1.529767063188707</c:v>
                </c:pt>
                <c:pt idx="35" formatCode="0.0000">
                  <c:v>1.2269E-2</c:v>
                </c:pt>
                <c:pt idx="36" formatCode="0.0000">
                  <c:v>0.24295600000000001</c:v>
                </c:pt>
                <c:pt idx="37" formatCode="0.0000">
                  <c:v>0.27635700000000002</c:v>
                </c:pt>
                <c:pt idx="38" formatCode="0.0000">
                  <c:v>0.36975011665312563</c:v>
                </c:pt>
                <c:pt idx="39" formatCode="0.0000">
                  <c:v>4.9184299999999999</c:v>
                </c:pt>
                <c:pt idx="40" formatCode="0.0000">
                  <c:v>0.248249</c:v>
                </c:pt>
                <c:pt idx="41" formatCode="0.0000">
                  <c:v>0.31263299999999999</c:v>
                </c:pt>
                <c:pt idx="42" formatCode="0.0000">
                  <c:v>0.96130300000000002</c:v>
                </c:pt>
                <c:pt idx="43" formatCode="0.0000">
                  <c:v>1.0122105853200709</c:v>
                </c:pt>
                <c:pt idx="44" formatCode="0.0000">
                  <c:v>67.495999999999995</c:v>
                </c:pt>
                <c:pt idx="45" formatCode="0.0000">
                  <c:v>0.27495000000000003</c:v>
                </c:pt>
                <c:pt idx="46">
                  <c:v>0</c:v>
                </c:pt>
              </c:numCache>
            </c:numRef>
          </c:val>
          <c:extLst>
            <c:ext xmlns:c15="http://schemas.microsoft.com/office/drawing/2012/chart" uri="{02D57815-91ED-43cb-92C2-25804820EDAC}">
              <c15:datalabelsRange>
                <c15:f>'Dynamic Data-RE'!$C$7:$C$53</c15:f>
                <c15:dlblRangeCache>
                  <c:ptCount val="47"/>
                  <c:pt idx="0">
                    <c:v>V=15%</c:v>
                  </c:pt>
                  <c:pt idx="1">
                    <c:v>V=15%</c:v>
                  </c:pt>
                  <c:pt idx="2">
                    <c:v>V=15%</c:v>
                  </c:pt>
                  <c:pt idx="3">
                    <c:v>V=15%</c:v>
                  </c:pt>
                  <c:pt idx="4">
                    <c:v>V=15%</c:v>
                  </c:pt>
                  <c:pt idx="5">
                    <c:v>V=15%</c:v>
                  </c:pt>
                  <c:pt idx="6">
                    <c:v>V=15%</c:v>
                  </c:pt>
                  <c:pt idx="7">
                    <c:v>V=15%</c:v>
                  </c:pt>
                  <c:pt idx="8">
                    <c:v>V=15%</c:v>
                  </c:pt>
                  <c:pt idx="9">
                    <c:v>V=15%</c:v>
                  </c:pt>
                  <c:pt idx="10">
                    <c:v>V=15%</c:v>
                  </c:pt>
                  <c:pt idx="11">
                    <c:v>V=15%</c:v>
                  </c:pt>
                  <c:pt idx="12">
                    <c:v>V=15%</c:v>
                  </c:pt>
                  <c:pt idx="13">
                    <c:v>V=15%</c:v>
                  </c:pt>
                  <c:pt idx="14">
                    <c:v>V=15%</c:v>
                  </c:pt>
                  <c:pt idx="15">
                    <c:v>V=15%</c:v>
                  </c:pt>
                  <c:pt idx="16">
                    <c:v>V=15%</c:v>
                  </c:pt>
                  <c:pt idx="17">
                    <c:v>V=50%</c:v>
                  </c:pt>
                  <c:pt idx="18">
                    <c:v>V=50%</c:v>
                  </c:pt>
                  <c:pt idx="19">
                    <c:v>V=50%</c:v>
                  </c:pt>
                  <c:pt idx="20">
                    <c:v>V=50%</c:v>
                  </c:pt>
                  <c:pt idx="21">
                    <c:v>V=50%</c:v>
                  </c:pt>
                  <c:pt idx="22">
                    <c:v>V=50%</c:v>
                  </c:pt>
                  <c:pt idx="23">
                    <c:v>V=50%</c:v>
                  </c:pt>
                  <c:pt idx="24">
                    <c:v>V=50%</c:v>
                  </c:pt>
                  <c:pt idx="25">
                    <c:v>V=50%</c:v>
                  </c:pt>
                  <c:pt idx="26">
                    <c:v>V=50%</c:v>
                  </c:pt>
                  <c:pt idx="27">
                    <c:v>V=50%</c:v>
                  </c:pt>
                  <c:pt idx="28">
                    <c:v>V=50%</c:v>
                  </c:pt>
                  <c:pt idx="29">
                    <c:v>V=50%</c:v>
                  </c:pt>
                  <c:pt idx="30">
                    <c:v>V=50%</c:v>
                  </c:pt>
                  <c:pt idx="31">
                    <c:v>V=50%</c:v>
                  </c:pt>
                  <c:pt idx="32">
                    <c:v>V=50%</c:v>
                  </c:pt>
                  <c:pt idx="33">
                    <c:v>V=50%</c:v>
                  </c:pt>
                  <c:pt idx="34">
                    <c:v>V=85%</c:v>
                  </c:pt>
                  <c:pt idx="35">
                    <c:v>V=85%</c:v>
                  </c:pt>
                  <c:pt idx="36">
                    <c:v>V=85%</c:v>
                  </c:pt>
                  <c:pt idx="37">
                    <c:v>V=85%</c:v>
                  </c:pt>
                  <c:pt idx="38">
                    <c:v>V=85%</c:v>
                  </c:pt>
                  <c:pt idx="39">
                    <c:v>V=85%</c:v>
                  </c:pt>
                  <c:pt idx="40">
                    <c:v>V=85%</c:v>
                  </c:pt>
                  <c:pt idx="41">
                    <c:v>V=85%</c:v>
                  </c:pt>
                  <c:pt idx="42">
                    <c:v>V=85%</c:v>
                  </c:pt>
                  <c:pt idx="43">
                    <c:v>V=85%</c:v>
                  </c:pt>
                  <c:pt idx="44">
                    <c:v>V=85%</c:v>
                  </c:pt>
                  <c:pt idx="45">
                    <c:v>V=85%</c:v>
                  </c:pt>
                  <c:pt idx="46">
                    <c:v>V=85%</c:v>
                  </c:pt>
                </c15:dlblRangeCache>
              </c15:datalabelsRange>
            </c:ext>
            <c:ext xmlns:c16="http://schemas.microsoft.com/office/drawing/2014/chart" uri="{C3380CC4-5D6E-409C-BE32-E72D297353CC}">
              <c16:uniqueId val="{00000000-D7E2-4A8D-A7CD-B2D152F30D9A}"/>
            </c:ext>
          </c:extLst>
        </c:ser>
        <c:ser>
          <c:idx val="1"/>
          <c:order val="1"/>
          <c:tx>
            <c:v>Del_Iq_PSCAD</c:v>
          </c:tx>
          <c:spPr>
            <a:ln w="31750" cap="rnd">
              <a:solidFill>
                <a:schemeClr val="accent2"/>
              </a:solidFill>
              <a:round/>
            </a:ln>
            <a:effectLst/>
          </c:spPr>
          <c:marker>
            <c:symbol val="none"/>
          </c:marker>
          <c:val>
            <c:numRef>
              <c:f>'Dynamic Data-RE'!$H$7:$H$53</c:f>
              <c:numCache>
                <c:formatCode>General</c:formatCode>
                <c:ptCount val="47"/>
                <c:pt idx="0">
                  <c:v>0.58979999999999999</c:v>
                </c:pt>
                <c:pt idx="1">
                  <c:v>0.59160000000000001</c:v>
                </c:pt>
                <c:pt idx="2">
                  <c:v>0.27439999999999998</c:v>
                </c:pt>
                <c:pt idx="3">
                  <c:v>0.2747</c:v>
                </c:pt>
                <c:pt idx="4" formatCode="0.00%">
                  <c:v>0.26900000000000002</c:v>
                </c:pt>
                <c:pt idx="5">
                  <c:v>0.86729999999999996</c:v>
                </c:pt>
                <c:pt idx="6">
                  <c:v>0.87</c:v>
                </c:pt>
                <c:pt idx="7">
                  <c:v>0.44180000000000003</c:v>
                </c:pt>
                <c:pt idx="8" formatCode="0.00">
                  <c:v>0.94269999999999998</c:v>
                </c:pt>
                <c:pt idx="9" formatCode="0.00%">
                  <c:v>0.95120000000000005</c:v>
                </c:pt>
                <c:pt idx="10">
                  <c:v>0.29149999999999998</c:v>
                </c:pt>
                <c:pt idx="11">
                  <c:v>1.0899999999999999</c:v>
                </c:pt>
                <c:pt idx="12">
                  <c:v>0</c:v>
                </c:pt>
                <c:pt idx="13">
                  <c:v>0</c:v>
                </c:pt>
                <c:pt idx="14">
                  <c:v>0</c:v>
                </c:pt>
                <c:pt idx="15">
                  <c:v>0</c:v>
                </c:pt>
                <c:pt idx="16" formatCode="0.0000">
                  <c:v>0.12</c:v>
                </c:pt>
                <c:pt idx="17">
                  <c:v>0.32579999999999998</c:v>
                </c:pt>
                <c:pt idx="18">
                  <c:v>0.32679999999999998</c:v>
                </c:pt>
                <c:pt idx="19">
                  <c:v>0.27400000000000002</c:v>
                </c:pt>
                <c:pt idx="20">
                  <c:v>0.27300000000000002</c:v>
                </c:pt>
                <c:pt idx="21">
                  <c:v>0.26900000000000002</c:v>
                </c:pt>
                <c:pt idx="22">
                  <c:v>0.45540000000000003</c:v>
                </c:pt>
                <c:pt idx="23">
                  <c:v>0.46</c:v>
                </c:pt>
                <c:pt idx="24">
                  <c:v>0.94</c:v>
                </c:pt>
                <c:pt idx="25" formatCode="0.00">
                  <c:v>0.93840000000000001</c:v>
                </c:pt>
                <c:pt idx="26" formatCode="0.00%">
                  <c:v>0.95</c:v>
                </c:pt>
                <c:pt idx="27">
                  <c:v>0.29189999999999999</c:v>
                </c:pt>
                <c:pt idx="28">
                  <c:v>1.0900000000000001</c:v>
                </c:pt>
                <c:pt idx="29">
                  <c:v>0</c:v>
                </c:pt>
                <c:pt idx="30">
                  <c:v>0</c:v>
                </c:pt>
                <c:pt idx="31">
                  <c:v>0</c:v>
                </c:pt>
                <c:pt idx="32">
                  <c:v>0</c:v>
                </c:pt>
                <c:pt idx="33">
                  <c:v>0.34599999999999997</c:v>
                </c:pt>
                <c:pt idx="34">
                  <c:v>3.2599999999999997E-2</c:v>
                </c:pt>
                <c:pt idx="35">
                  <c:v>3.6299999999999999E-2</c:v>
                </c:pt>
                <c:pt idx="36">
                  <c:v>0.27</c:v>
                </c:pt>
                <c:pt idx="37">
                  <c:v>0.27329999999999999</c:v>
                </c:pt>
                <c:pt idx="38">
                  <c:v>0.26929999999999998</c:v>
                </c:pt>
                <c:pt idx="39">
                  <c:v>0.04</c:v>
                </c:pt>
                <c:pt idx="40">
                  <c:v>0.04</c:v>
                </c:pt>
                <c:pt idx="41">
                  <c:v>0.94840000000000002</c:v>
                </c:pt>
                <c:pt idx="42" formatCode="0.00">
                  <c:v>0.94689999999999996</c:v>
                </c:pt>
                <c:pt idx="43" formatCode="0.00%">
                  <c:v>0.95140000000000002</c:v>
                </c:pt>
                <c:pt idx="44">
                  <c:v>0.3</c:v>
                </c:pt>
                <c:pt idx="45">
                  <c:v>1.0900000000000001</c:v>
                </c:pt>
                <c:pt idx="46">
                  <c:v>0</c:v>
                </c:pt>
              </c:numCache>
            </c:numRef>
          </c:val>
          <c:extLst>
            <c:ext xmlns:c16="http://schemas.microsoft.com/office/drawing/2014/chart" uri="{C3380CC4-5D6E-409C-BE32-E72D297353CC}">
              <c16:uniqueId val="{00000001-D7E2-4A8D-A7CD-B2D152F30D9A}"/>
            </c:ext>
          </c:extLst>
        </c:ser>
        <c:ser>
          <c:idx val="2"/>
          <c:order val="2"/>
          <c:tx>
            <c:v>Iq_Upper_lim</c:v>
          </c:tx>
          <c:spPr>
            <a:ln w="31750" cap="rnd">
              <a:solidFill>
                <a:schemeClr val="accent3"/>
              </a:solidFill>
              <a:round/>
            </a:ln>
            <a:effectLst/>
          </c:spPr>
          <c:marker>
            <c:symbol val="none"/>
          </c:marker>
          <c:val>
            <c:numRef>
              <c:f>'Dynamic Data-RE'!$J$7:$J$53</c:f>
              <c:numCache>
                <c:formatCode>General</c:formatCode>
                <c:ptCount val="47"/>
                <c:pt idx="0">
                  <c:v>1</c:v>
                </c:pt>
                <c:pt idx="1">
                  <c:v>1</c:v>
                </c:pt>
                <c:pt idx="2">
                  <c:v>1</c:v>
                </c:pt>
                <c:pt idx="3">
                  <c:v>1</c:v>
                </c:pt>
                <c:pt idx="4">
                  <c:v>90</c:v>
                </c:pt>
                <c:pt idx="5">
                  <c:v>1</c:v>
                </c:pt>
                <c:pt idx="6">
                  <c:v>1</c:v>
                </c:pt>
                <c:pt idx="7">
                  <c:v>1</c:v>
                </c:pt>
                <c:pt idx="8">
                  <c:v>1</c:v>
                </c:pt>
                <c:pt idx="9">
                  <c:v>90</c:v>
                </c:pt>
                <c:pt idx="10">
                  <c:v>1</c:v>
                </c:pt>
                <c:pt idx="11">
                  <c:v>1</c:v>
                </c:pt>
                <c:pt idx="12">
                  <c:v>1</c:v>
                </c:pt>
                <c:pt idx="13">
                  <c:v>1</c:v>
                </c:pt>
                <c:pt idx="14">
                  <c:v>1</c:v>
                </c:pt>
                <c:pt idx="15">
                  <c:v>1</c:v>
                </c:pt>
                <c:pt idx="16">
                  <c:v>1</c:v>
                </c:pt>
                <c:pt idx="17">
                  <c:v>1</c:v>
                </c:pt>
                <c:pt idx="18">
                  <c:v>1</c:v>
                </c:pt>
                <c:pt idx="19">
                  <c:v>1</c:v>
                </c:pt>
                <c:pt idx="20">
                  <c:v>1</c:v>
                </c:pt>
                <c:pt idx="21">
                  <c:v>90</c:v>
                </c:pt>
                <c:pt idx="22">
                  <c:v>1</c:v>
                </c:pt>
                <c:pt idx="23">
                  <c:v>1</c:v>
                </c:pt>
                <c:pt idx="24">
                  <c:v>1</c:v>
                </c:pt>
                <c:pt idx="25">
                  <c:v>1</c:v>
                </c:pt>
                <c:pt idx="26">
                  <c:v>90</c:v>
                </c:pt>
                <c:pt idx="27">
                  <c:v>1</c:v>
                </c:pt>
                <c:pt idx="28">
                  <c:v>1</c:v>
                </c:pt>
                <c:pt idx="29">
                  <c:v>1</c:v>
                </c:pt>
                <c:pt idx="30">
                  <c:v>1</c:v>
                </c:pt>
                <c:pt idx="31">
                  <c:v>1</c:v>
                </c:pt>
                <c:pt idx="32">
                  <c:v>1</c:v>
                </c:pt>
                <c:pt idx="33">
                  <c:v>1</c:v>
                </c:pt>
                <c:pt idx="34">
                  <c:v>1</c:v>
                </c:pt>
                <c:pt idx="35">
                  <c:v>1</c:v>
                </c:pt>
                <c:pt idx="36">
                  <c:v>1</c:v>
                </c:pt>
                <c:pt idx="37">
                  <c:v>1</c:v>
                </c:pt>
                <c:pt idx="38">
                  <c:v>90</c:v>
                </c:pt>
                <c:pt idx="39">
                  <c:v>1</c:v>
                </c:pt>
                <c:pt idx="40">
                  <c:v>1</c:v>
                </c:pt>
                <c:pt idx="41">
                  <c:v>1</c:v>
                </c:pt>
                <c:pt idx="42">
                  <c:v>1</c:v>
                </c:pt>
                <c:pt idx="43">
                  <c:v>90</c:v>
                </c:pt>
                <c:pt idx="44">
                  <c:v>1</c:v>
                </c:pt>
                <c:pt idx="45">
                  <c:v>1</c:v>
                </c:pt>
                <c:pt idx="46">
                  <c:v>1</c:v>
                </c:pt>
              </c:numCache>
            </c:numRef>
          </c:val>
          <c:extLst>
            <c:ext xmlns:c16="http://schemas.microsoft.com/office/drawing/2014/chart" uri="{C3380CC4-5D6E-409C-BE32-E72D297353CC}">
              <c16:uniqueId val="{00000000-94C0-4E27-81BB-5AEFB70E58BF}"/>
            </c:ext>
          </c:extLst>
        </c:ser>
        <c:ser>
          <c:idx val="3"/>
          <c:order val="3"/>
          <c:tx>
            <c:v>Iq_Lower_lim</c:v>
          </c:tx>
          <c:spPr>
            <a:ln w="31750" cap="rnd">
              <a:solidFill>
                <a:schemeClr val="accent4"/>
              </a:solidFill>
              <a:round/>
            </a:ln>
            <a:effectLst/>
          </c:spPr>
          <c:marker>
            <c:symbol val="none"/>
          </c:marker>
          <c:val>
            <c:numRef>
              <c:f>'Dynamic Data-RE'!$I$7:$I$53</c:f>
              <c:numCache>
                <c:formatCode>General</c:formatCode>
                <c:ptCount val="47"/>
                <c:pt idx="0">
                  <c:v>0</c:v>
                </c:pt>
                <c:pt idx="1">
                  <c:v>-1</c:v>
                </c:pt>
                <c:pt idx="2">
                  <c:v>0</c:v>
                </c:pt>
                <c:pt idx="3">
                  <c:v>0</c:v>
                </c:pt>
                <c:pt idx="4">
                  <c:v>90</c:v>
                </c:pt>
                <c:pt idx="5">
                  <c:v>0</c:v>
                </c:pt>
                <c:pt idx="6">
                  <c:v>-1</c:v>
                </c:pt>
                <c:pt idx="7">
                  <c:v>1E-3</c:v>
                </c:pt>
                <c:pt idx="8">
                  <c:v>1E-3</c:v>
                </c:pt>
                <c:pt idx="9">
                  <c:v>90</c:v>
                </c:pt>
                <c:pt idx="10">
                  <c:v>0</c:v>
                </c:pt>
                <c:pt idx="11">
                  <c:v>-1</c:v>
                </c:pt>
                <c:pt idx="12">
                  <c:v>0</c:v>
                </c:pt>
                <c:pt idx="13">
                  <c:v>-1</c:v>
                </c:pt>
                <c:pt idx="14">
                  <c:v>1E-3</c:v>
                </c:pt>
                <c:pt idx="15">
                  <c:v>1E-3</c:v>
                </c:pt>
                <c:pt idx="16">
                  <c:v>1E-3</c:v>
                </c:pt>
                <c:pt idx="17">
                  <c:v>0</c:v>
                </c:pt>
                <c:pt idx="18">
                  <c:v>-1</c:v>
                </c:pt>
                <c:pt idx="19">
                  <c:v>0</c:v>
                </c:pt>
                <c:pt idx="20">
                  <c:v>0</c:v>
                </c:pt>
                <c:pt idx="21">
                  <c:v>90</c:v>
                </c:pt>
                <c:pt idx="22">
                  <c:v>0</c:v>
                </c:pt>
                <c:pt idx="23">
                  <c:v>-1</c:v>
                </c:pt>
                <c:pt idx="24">
                  <c:v>1E-3</c:v>
                </c:pt>
                <c:pt idx="25">
                  <c:v>1E-3</c:v>
                </c:pt>
                <c:pt idx="26">
                  <c:v>90</c:v>
                </c:pt>
                <c:pt idx="27">
                  <c:v>0</c:v>
                </c:pt>
                <c:pt idx="28">
                  <c:v>-1</c:v>
                </c:pt>
                <c:pt idx="29">
                  <c:v>0</c:v>
                </c:pt>
                <c:pt idx="30">
                  <c:v>-1</c:v>
                </c:pt>
                <c:pt idx="31">
                  <c:v>1E-3</c:v>
                </c:pt>
                <c:pt idx="32">
                  <c:v>1E-3</c:v>
                </c:pt>
                <c:pt idx="33">
                  <c:v>1E-3</c:v>
                </c:pt>
                <c:pt idx="34">
                  <c:v>0</c:v>
                </c:pt>
                <c:pt idx="35">
                  <c:v>-1</c:v>
                </c:pt>
                <c:pt idx="36">
                  <c:v>0</c:v>
                </c:pt>
                <c:pt idx="37">
                  <c:v>0</c:v>
                </c:pt>
                <c:pt idx="38">
                  <c:v>90</c:v>
                </c:pt>
                <c:pt idx="39">
                  <c:v>0</c:v>
                </c:pt>
                <c:pt idx="40">
                  <c:v>-1</c:v>
                </c:pt>
                <c:pt idx="41">
                  <c:v>1E-3</c:v>
                </c:pt>
                <c:pt idx="42">
                  <c:v>1E-3</c:v>
                </c:pt>
                <c:pt idx="43">
                  <c:v>90</c:v>
                </c:pt>
                <c:pt idx="44">
                  <c:v>0</c:v>
                </c:pt>
                <c:pt idx="45">
                  <c:v>-1</c:v>
                </c:pt>
                <c:pt idx="46">
                  <c:v>0</c:v>
                </c:pt>
              </c:numCache>
            </c:numRef>
          </c:val>
          <c:extLst>
            <c:ext xmlns:c16="http://schemas.microsoft.com/office/drawing/2014/chart" uri="{C3380CC4-5D6E-409C-BE32-E72D297353CC}">
              <c16:uniqueId val="{00000001-94C0-4E27-81BB-5AEFB70E58BF}"/>
            </c:ext>
          </c:extLst>
        </c:ser>
        <c:dLbls>
          <c:showLegendKey val="0"/>
          <c:showVal val="0"/>
          <c:showCatName val="0"/>
          <c:showSerName val="0"/>
          <c:showPercent val="0"/>
          <c:showBubbleSize val="0"/>
        </c:dLbls>
        <c:axId val="793593024"/>
        <c:axId val="793592544"/>
      </c:radarChart>
      <c:catAx>
        <c:axId val="7935930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93592544"/>
        <c:crosses val="autoZero"/>
        <c:auto val="1"/>
        <c:lblAlgn val="ctr"/>
        <c:lblOffset val="100"/>
        <c:noMultiLvlLbl val="0"/>
      </c:catAx>
      <c:valAx>
        <c:axId val="79359254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935930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baseline="0">
                <a:solidFill>
                  <a:schemeClr val="tx2"/>
                </a:solidFill>
                <a:latin typeface="+mn-lt"/>
                <a:ea typeface="+mn-ea"/>
                <a:cs typeface="+mn-cs"/>
              </a:defRPr>
            </a:pPr>
            <a:r>
              <a:rPr lang="en-IN" sz="2400"/>
              <a:t>Del_Iq+</a:t>
            </a:r>
            <a:r>
              <a:rPr lang="en-IN" sz="2400" baseline="0"/>
              <a:t> &amp; </a:t>
            </a:r>
            <a:r>
              <a:rPr lang="en-IN" sz="2400"/>
              <a:t>Iq-</a:t>
            </a:r>
          </a:p>
          <a:p>
            <a:pPr>
              <a:defRPr sz="2400"/>
            </a:pPr>
            <a:r>
              <a:rPr lang="en-IN" sz="2400"/>
              <a:t>LVRT_2PH</a:t>
            </a:r>
          </a:p>
          <a:p>
            <a:pPr>
              <a:defRPr sz="2400"/>
            </a:pPr>
            <a:r>
              <a:rPr lang="en-IN" sz="2400"/>
              <a:t>INV/WTG/PCS/SVG</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2"/>
              </a:solidFill>
              <a:latin typeface="+mn-lt"/>
              <a:ea typeface="+mn-ea"/>
              <a:cs typeface="+mn-cs"/>
            </a:defRPr>
          </a:pPr>
          <a:endParaRPr lang="en-US"/>
        </a:p>
      </c:txPr>
    </c:title>
    <c:autoTitleDeleted val="0"/>
    <c:plotArea>
      <c:layout/>
      <c:radarChart>
        <c:radarStyle val="marker"/>
        <c:varyColors val="0"/>
        <c:ser>
          <c:idx val="0"/>
          <c:order val="0"/>
          <c:spPr>
            <a:ln w="31750" cap="rnd">
              <a:solidFill>
                <a:schemeClr val="accent1"/>
              </a:solidFill>
              <a:round/>
            </a:ln>
            <a:effectLst/>
          </c:spPr>
          <c:marker>
            <c:symbol val="none"/>
          </c:marker>
          <c:dLbls>
            <c:dLbl>
              <c:idx val="0"/>
              <c:tx>
                <c:rich>
                  <a:bodyPr/>
                  <a:lstStyle/>
                  <a:p>
                    <a:fld id="{ABD2996E-0FAD-448F-A902-3203B4F8D231}" type="CELLRANGE">
                      <a:rPr lang="en-IN"/>
                      <a:pPr/>
                      <a:t>[CELLRANGE]</a:t>
                    </a:fld>
                    <a:r>
                      <a:rPr lang="en-IN" baseline="0"/>
                      <a:t>, </a:t>
                    </a:r>
                    <a:fld id="{C58E3573-746A-44A3-B2C2-702B4BB2E0C0}" type="CATEGORYNAME">
                      <a:rPr lang="en-IN" baseline="0"/>
                      <a:pPr/>
                      <a:t>[CATEGORY NAME]</a:t>
                    </a:fld>
                    <a:r>
                      <a:rPr lang="en-IN" baseline="0"/>
                      <a:t>, </a:t>
                    </a:r>
                    <a:fld id="{71A8FA13-1192-4BB4-BB7C-94D6178B5F5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C0E-4894-9E05-A75403EFF5A4}"/>
                </c:ext>
              </c:extLst>
            </c:dLbl>
            <c:dLbl>
              <c:idx val="1"/>
              <c:tx>
                <c:rich>
                  <a:bodyPr/>
                  <a:lstStyle/>
                  <a:p>
                    <a:fld id="{BB9014A8-94DE-4E88-A6B6-B2CB45A765BE}" type="CELLRANGE">
                      <a:rPr lang="en-IN"/>
                      <a:pPr/>
                      <a:t>[CELLRANGE]</a:t>
                    </a:fld>
                    <a:r>
                      <a:rPr lang="en-IN" baseline="0"/>
                      <a:t>, </a:t>
                    </a:r>
                    <a:fld id="{D696AF70-C1A7-43FF-9E7A-3D99B5980D0D}" type="CATEGORYNAME">
                      <a:rPr lang="en-IN" baseline="0"/>
                      <a:pPr/>
                      <a:t>[CATEGORY NAME]</a:t>
                    </a:fld>
                    <a:r>
                      <a:rPr lang="en-IN" baseline="0"/>
                      <a:t>, </a:t>
                    </a:r>
                    <a:fld id="{FB09E2A2-5DE0-4F88-B434-A32FFB8277A5}"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C0E-4894-9E05-A75403EFF5A4}"/>
                </c:ext>
              </c:extLst>
            </c:dLbl>
            <c:dLbl>
              <c:idx val="2"/>
              <c:tx>
                <c:rich>
                  <a:bodyPr/>
                  <a:lstStyle/>
                  <a:p>
                    <a:fld id="{CC8939D1-F269-4738-B9FE-03D98C789282}" type="CELLRANGE">
                      <a:rPr lang="en-IN"/>
                      <a:pPr/>
                      <a:t>[CELLRANGE]</a:t>
                    </a:fld>
                    <a:r>
                      <a:rPr lang="en-IN" baseline="0"/>
                      <a:t>, </a:t>
                    </a:r>
                    <a:fld id="{55837531-95D9-48AA-99E5-5DBD8AF5D50B}" type="CATEGORYNAME">
                      <a:rPr lang="en-IN" baseline="0"/>
                      <a:pPr/>
                      <a:t>[CATEGORY NAME]</a:t>
                    </a:fld>
                    <a:r>
                      <a:rPr lang="en-IN" baseline="0"/>
                      <a:t>, </a:t>
                    </a:r>
                    <a:fld id="{2EC46FBA-BAFE-42F8-91B2-3213D10265F3}"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C0E-4894-9E05-A75403EFF5A4}"/>
                </c:ext>
              </c:extLst>
            </c:dLbl>
            <c:dLbl>
              <c:idx val="3"/>
              <c:tx>
                <c:rich>
                  <a:bodyPr/>
                  <a:lstStyle/>
                  <a:p>
                    <a:fld id="{8AEE86F9-B8D2-40C1-AA8E-1F44DA8A0EC0}" type="CELLRANGE">
                      <a:rPr lang="en-IN"/>
                      <a:pPr/>
                      <a:t>[CELLRANGE]</a:t>
                    </a:fld>
                    <a:r>
                      <a:rPr lang="en-IN" baseline="0"/>
                      <a:t>, </a:t>
                    </a:r>
                    <a:fld id="{1DDF6E9C-2522-42DA-8A47-D027718625AA}" type="CATEGORYNAME">
                      <a:rPr lang="en-IN" baseline="0"/>
                      <a:pPr/>
                      <a:t>[CATEGORY NAME]</a:t>
                    </a:fld>
                    <a:r>
                      <a:rPr lang="en-IN" baseline="0"/>
                      <a:t>, </a:t>
                    </a:r>
                    <a:fld id="{21C8B74C-8394-4645-BB65-49752B4B7446}"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C0E-4894-9E05-A75403EFF5A4}"/>
                </c:ext>
              </c:extLst>
            </c:dLbl>
            <c:dLbl>
              <c:idx val="4"/>
              <c:tx>
                <c:rich>
                  <a:bodyPr/>
                  <a:lstStyle/>
                  <a:p>
                    <a:fld id="{A2A6AD1D-C5C3-452C-B88C-6B863A89F34A}" type="CELLRANGE">
                      <a:rPr lang="en-IN"/>
                      <a:pPr/>
                      <a:t>[CELLRANGE]</a:t>
                    </a:fld>
                    <a:r>
                      <a:rPr lang="en-IN" baseline="0"/>
                      <a:t>, </a:t>
                    </a:r>
                    <a:fld id="{675DCE3E-2905-4A3F-BAFD-10CBC48AD33A}" type="CATEGORYNAME">
                      <a:rPr lang="en-IN" baseline="0"/>
                      <a:pPr/>
                      <a:t>[CATEGORY NAME]</a:t>
                    </a:fld>
                    <a:r>
                      <a:rPr lang="en-IN" baseline="0"/>
                      <a:t>, </a:t>
                    </a:r>
                    <a:fld id="{1B3DEE6A-5211-4674-815C-862A94352BBE}"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C0E-4894-9E05-A75403EFF5A4}"/>
                </c:ext>
              </c:extLst>
            </c:dLbl>
            <c:dLbl>
              <c:idx val="5"/>
              <c:tx>
                <c:rich>
                  <a:bodyPr/>
                  <a:lstStyle/>
                  <a:p>
                    <a:fld id="{CC3170F5-1E6C-4507-8A2D-77D357C278BB}" type="CELLRANGE">
                      <a:rPr lang="en-IN"/>
                      <a:pPr/>
                      <a:t>[CELLRANGE]</a:t>
                    </a:fld>
                    <a:r>
                      <a:rPr lang="en-IN" baseline="0"/>
                      <a:t>, </a:t>
                    </a:r>
                    <a:fld id="{B5364BA0-9463-4061-96B4-A7456183769B}" type="CATEGORYNAME">
                      <a:rPr lang="en-IN" baseline="0"/>
                      <a:pPr/>
                      <a:t>[CATEGORY NAME]</a:t>
                    </a:fld>
                    <a:r>
                      <a:rPr lang="en-IN" baseline="0"/>
                      <a:t>, </a:t>
                    </a:r>
                    <a:fld id="{D5985620-CA02-488A-8C17-2E9FB9C8ABEB}"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C0E-4894-9E05-A75403EFF5A4}"/>
                </c:ext>
              </c:extLst>
            </c:dLbl>
            <c:dLbl>
              <c:idx val="6"/>
              <c:tx>
                <c:rich>
                  <a:bodyPr/>
                  <a:lstStyle/>
                  <a:p>
                    <a:fld id="{D9A0EF5D-AAF5-46F3-97B4-022FE249E01E}" type="CELLRANGE">
                      <a:rPr lang="en-IN"/>
                      <a:pPr/>
                      <a:t>[CELLRANGE]</a:t>
                    </a:fld>
                    <a:r>
                      <a:rPr lang="en-IN" baseline="0"/>
                      <a:t>, </a:t>
                    </a:r>
                    <a:fld id="{B86C08B8-41EB-44CC-BF56-CF95EE04F34E}" type="CATEGORYNAME">
                      <a:rPr lang="en-IN" baseline="0"/>
                      <a:pPr/>
                      <a:t>[CATEGORY NAME]</a:t>
                    </a:fld>
                    <a:r>
                      <a:rPr lang="en-IN" baseline="0"/>
                      <a:t>, </a:t>
                    </a:r>
                    <a:fld id="{A7A8EC4E-5D43-45ED-89AC-DA48775C8809}"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C0E-4894-9E05-A75403EFF5A4}"/>
                </c:ext>
              </c:extLst>
            </c:dLbl>
            <c:dLbl>
              <c:idx val="7"/>
              <c:tx>
                <c:rich>
                  <a:bodyPr/>
                  <a:lstStyle/>
                  <a:p>
                    <a:fld id="{80FB7694-F27B-4E3D-8F6B-734E9E77A403}" type="CELLRANGE">
                      <a:rPr lang="en-IN"/>
                      <a:pPr/>
                      <a:t>[CELLRANGE]</a:t>
                    </a:fld>
                    <a:r>
                      <a:rPr lang="en-IN" baseline="0"/>
                      <a:t>, </a:t>
                    </a:r>
                    <a:fld id="{DA3D1D3C-9282-46E2-9419-0926DCF5627D}" type="CATEGORYNAME">
                      <a:rPr lang="en-IN" baseline="0"/>
                      <a:pPr/>
                      <a:t>[CATEGORY NAME]</a:t>
                    </a:fld>
                    <a:r>
                      <a:rPr lang="en-IN" baseline="0"/>
                      <a:t>, </a:t>
                    </a:r>
                    <a:fld id="{23C1D502-1768-4EF4-9C44-1FE2F15B1DD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C0E-4894-9E05-A75403EFF5A4}"/>
                </c:ext>
              </c:extLst>
            </c:dLbl>
            <c:dLbl>
              <c:idx val="8"/>
              <c:tx>
                <c:rich>
                  <a:bodyPr/>
                  <a:lstStyle/>
                  <a:p>
                    <a:fld id="{DB9C44B8-D4C5-4DB2-BB66-4AF15E575860}" type="CELLRANGE">
                      <a:rPr lang="en-IN"/>
                      <a:pPr/>
                      <a:t>[CELLRANGE]</a:t>
                    </a:fld>
                    <a:r>
                      <a:rPr lang="en-IN" baseline="0"/>
                      <a:t>, </a:t>
                    </a:r>
                    <a:fld id="{945A179B-99D9-4B58-94E5-82CC6D915ED2}" type="CATEGORYNAME">
                      <a:rPr lang="en-IN" baseline="0"/>
                      <a:pPr/>
                      <a:t>[CATEGORY NAME]</a:t>
                    </a:fld>
                    <a:r>
                      <a:rPr lang="en-IN" baseline="0"/>
                      <a:t>, </a:t>
                    </a:r>
                    <a:fld id="{55571B67-BEB9-4DD2-8D8F-1F94E71A41E3}"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C0E-4894-9E05-A75403EFF5A4}"/>
                </c:ext>
              </c:extLst>
            </c:dLbl>
            <c:dLbl>
              <c:idx val="9"/>
              <c:tx>
                <c:rich>
                  <a:bodyPr/>
                  <a:lstStyle/>
                  <a:p>
                    <a:fld id="{DB226D96-ED21-4BCC-A8D5-AB9AA84933A2}" type="CELLRANGE">
                      <a:rPr lang="en-IN"/>
                      <a:pPr/>
                      <a:t>[CELLRANGE]</a:t>
                    </a:fld>
                    <a:r>
                      <a:rPr lang="en-IN" baseline="0"/>
                      <a:t>, </a:t>
                    </a:r>
                    <a:fld id="{E2232097-0591-4969-B0EB-757DF1DC4905}" type="CATEGORYNAME">
                      <a:rPr lang="en-IN" baseline="0"/>
                      <a:pPr/>
                      <a:t>[CATEGORY NAME]</a:t>
                    </a:fld>
                    <a:r>
                      <a:rPr lang="en-IN" baseline="0"/>
                      <a:t>, </a:t>
                    </a:r>
                    <a:fld id="{E34C996C-F6CD-46A1-B080-C3372074C32C}"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C0E-4894-9E05-A75403EFF5A4}"/>
                </c:ext>
              </c:extLst>
            </c:dLbl>
            <c:dLbl>
              <c:idx val="10"/>
              <c:tx>
                <c:rich>
                  <a:bodyPr/>
                  <a:lstStyle/>
                  <a:p>
                    <a:fld id="{0A31DAAD-3540-4F6C-A858-DC0B3EFD7115}" type="CELLRANGE">
                      <a:rPr lang="en-IN"/>
                      <a:pPr/>
                      <a:t>[CELLRANGE]</a:t>
                    </a:fld>
                    <a:r>
                      <a:rPr lang="en-IN" baseline="0"/>
                      <a:t>, </a:t>
                    </a:r>
                    <a:fld id="{93E32116-820A-4213-BB0E-1BB1BFCEC706}" type="CATEGORYNAME">
                      <a:rPr lang="en-IN" baseline="0"/>
                      <a:pPr/>
                      <a:t>[CATEGORY NAME]</a:t>
                    </a:fld>
                    <a:r>
                      <a:rPr lang="en-IN" baseline="0"/>
                      <a:t>, </a:t>
                    </a:r>
                    <a:fld id="{534472E9-6A16-4FA6-8ADA-B6B058C9C006}"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C0E-4894-9E05-A75403EFF5A4}"/>
                </c:ext>
              </c:extLst>
            </c:dLbl>
            <c:dLbl>
              <c:idx val="11"/>
              <c:tx>
                <c:rich>
                  <a:bodyPr/>
                  <a:lstStyle/>
                  <a:p>
                    <a:fld id="{5BD4146F-F776-4E8D-AA8F-144683D08A30}" type="CELLRANGE">
                      <a:rPr lang="en-IN"/>
                      <a:pPr/>
                      <a:t>[CELLRANGE]</a:t>
                    </a:fld>
                    <a:r>
                      <a:rPr lang="en-IN" baseline="0"/>
                      <a:t>, </a:t>
                    </a:r>
                    <a:fld id="{E5CC4338-62ED-44FA-BFA6-F33AA6B01412}" type="CATEGORYNAME">
                      <a:rPr lang="en-IN" baseline="0"/>
                      <a:pPr/>
                      <a:t>[CATEGORY NAME]</a:t>
                    </a:fld>
                    <a:r>
                      <a:rPr lang="en-IN" baseline="0"/>
                      <a:t>, </a:t>
                    </a:r>
                    <a:fld id="{2C837752-0423-4D22-B573-6D8DA0503CC1}"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7C0E-4894-9E05-A75403EFF5A4}"/>
                </c:ext>
              </c:extLst>
            </c:dLbl>
            <c:dLbl>
              <c:idx val="12"/>
              <c:tx>
                <c:rich>
                  <a:bodyPr/>
                  <a:lstStyle/>
                  <a:p>
                    <a:fld id="{D36619F4-B5B5-4307-A8A3-B627BCD0B2E8}" type="CELLRANGE">
                      <a:rPr lang="en-IN"/>
                      <a:pPr/>
                      <a:t>[CELLRANGE]</a:t>
                    </a:fld>
                    <a:r>
                      <a:rPr lang="en-IN" baseline="0"/>
                      <a:t>, </a:t>
                    </a:r>
                    <a:fld id="{14EA68A8-7235-4A8D-A919-D3A8743B179C}" type="CATEGORYNAME">
                      <a:rPr lang="en-IN" baseline="0"/>
                      <a:pPr/>
                      <a:t>[CATEGORY NAME]</a:t>
                    </a:fld>
                    <a:r>
                      <a:rPr lang="en-IN" baseline="0"/>
                      <a:t>, </a:t>
                    </a:r>
                    <a:fld id="{82C5F281-FFDC-4035-AFC6-5DACAE26DD85}"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B1F-42D5-97C0-1F6ED3F884EE}"/>
                </c:ext>
              </c:extLst>
            </c:dLbl>
            <c:dLbl>
              <c:idx val="13"/>
              <c:tx>
                <c:rich>
                  <a:bodyPr/>
                  <a:lstStyle/>
                  <a:p>
                    <a:fld id="{9AF464A2-CF68-4D7C-8CAB-5D56AA4F093D}" type="CELLRANGE">
                      <a:rPr lang="en-IN"/>
                      <a:pPr/>
                      <a:t>[CELLRANGE]</a:t>
                    </a:fld>
                    <a:r>
                      <a:rPr lang="en-IN" baseline="0"/>
                      <a:t>, </a:t>
                    </a:r>
                    <a:fld id="{EA4D750F-972A-432B-BAEB-2324BC44801B}" type="CATEGORYNAME">
                      <a:rPr lang="en-IN" baseline="0"/>
                      <a:pPr/>
                      <a:t>[CATEGORY NAME]</a:t>
                    </a:fld>
                    <a:r>
                      <a:rPr lang="en-IN" baseline="0"/>
                      <a:t>, </a:t>
                    </a:r>
                    <a:fld id="{09A453E3-9560-4A23-923A-339706DB016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B1F-42D5-97C0-1F6ED3F884EE}"/>
                </c:ext>
              </c:extLst>
            </c:dLbl>
            <c:dLbl>
              <c:idx val="14"/>
              <c:tx>
                <c:rich>
                  <a:bodyPr/>
                  <a:lstStyle/>
                  <a:p>
                    <a:fld id="{DC33D63F-9C5C-4E42-9E45-4085EC7BA4A9}" type="CELLRANGE">
                      <a:rPr lang="en-IN"/>
                      <a:pPr/>
                      <a:t>[CELLRANGE]</a:t>
                    </a:fld>
                    <a:r>
                      <a:rPr lang="en-IN" baseline="0"/>
                      <a:t>, </a:t>
                    </a:r>
                    <a:fld id="{444CD6F7-2040-4083-B5D8-6113F3FC8144}" type="CATEGORYNAME">
                      <a:rPr lang="en-IN" baseline="0"/>
                      <a:pPr/>
                      <a:t>[CATEGORY NAME]</a:t>
                    </a:fld>
                    <a:r>
                      <a:rPr lang="en-IN" baseline="0"/>
                      <a:t>, </a:t>
                    </a:r>
                    <a:fld id="{022825B3-BF91-469A-A207-F9D415BA13EC}"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B1F-42D5-97C0-1F6ED3F884EE}"/>
                </c:ext>
              </c:extLst>
            </c:dLbl>
            <c:dLbl>
              <c:idx val="15"/>
              <c:tx>
                <c:rich>
                  <a:bodyPr/>
                  <a:lstStyle/>
                  <a:p>
                    <a:fld id="{97D754C9-E9CE-4837-A879-DAF8487E4D17}" type="CELLRANGE">
                      <a:rPr lang="en-IN"/>
                      <a:pPr/>
                      <a:t>[CELLRANGE]</a:t>
                    </a:fld>
                    <a:r>
                      <a:rPr lang="en-IN" baseline="0"/>
                      <a:t>, </a:t>
                    </a:r>
                    <a:fld id="{107F0241-3008-48E7-ABF9-65B4AEB6F9A8}" type="CATEGORYNAME">
                      <a:rPr lang="en-IN" baseline="0"/>
                      <a:pPr/>
                      <a:t>[CATEGORY NAME]</a:t>
                    </a:fld>
                    <a:r>
                      <a:rPr lang="en-IN" baseline="0"/>
                      <a:t>, </a:t>
                    </a:r>
                    <a:fld id="{910F0BAF-3EF8-47FA-9E89-877A742B73E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B1F-42D5-97C0-1F6ED3F884EE}"/>
                </c:ext>
              </c:extLst>
            </c:dLbl>
            <c:dLbl>
              <c:idx val="16"/>
              <c:tx>
                <c:rich>
                  <a:bodyPr/>
                  <a:lstStyle/>
                  <a:p>
                    <a:fld id="{213917D8-29D8-446A-8189-FFBDD0B5310F}" type="CELLRANGE">
                      <a:rPr lang="en-IN"/>
                      <a:pPr/>
                      <a:t>[CELLRANGE]</a:t>
                    </a:fld>
                    <a:r>
                      <a:rPr lang="en-IN" baseline="0"/>
                      <a:t>, </a:t>
                    </a:r>
                    <a:fld id="{C545ED7F-86CD-43F4-A67D-635F2B5EA953}" type="CATEGORYNAME">
                      <a:rPr lang="en-IN" baseline="0"/>
                      <a:pPr/>
                      <a:t>[CATEGORY NAME]</a:t>
                    </a:fld>
                    <a:r>
                      <a:rPr lang="en-IN" baseline="0"/>
                      <a:t>, </a:t>
                    </a:r>
                    <a:fld id="{1A05A56D-10AD-4B3B-9868-EAECF92CFFCF}"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B1F-42D5-97C0-1F6ED3F884EE}"/>
                </c:ext>
              </c:extLst>
            </c:dLbl>
            <c:dLbl>
              <c:idx val="17"/>
              <c:tx>
                <c:rich>
                  <a:bodyPr/>
                  <a:lstStyle/>
                  <a:p>
                    <a:fld id="{7F690CF8-4987-4505-B0E0-5E4670FB4AAA}" type="CELLRANGE">
                      <a:rPr lang="en-IN"/>
                      <a:pPr/>
                      <a:t>[CELLRANGE]</a:t>
                    </a:fld>
                    <a:r>
                      <a:rPr lang="en-IN" baseline="0"/>
                      <a:t>, </a:t>
                    </a:r>
                    <a:fld id="{39773D4C-8318-4BCA-8E6F-CE5AD13D38AD}" type="CATEGORYNAME">
                      <a:rPr lang="en-IN" baseline="0"/>
                      <a:pPr/>
                      <a:t>[CATEGORY NAME]</a:t>
                    </a:fld>
                    <a:r>
                      <a:rPr lang="en-IN" baseline="0"/>
                      <a:t>, </a:t>
                    </a:r>
                    <a:fld id="{3AA7CCD3-66AC-4909-9EE2-5A599A373F2B}"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B1F-42D5-97C0-1F6ED3F884EE}"/>
                </c:ext>
              </c:extLst>
            </c:dLbl>
            <c:dLbl>
              <c:idx val="18"/>
              <c:tx>
                <c:rich>
                  <a:bodyPr/>
                  <a:lstStyle/>
                  <a:p>
                    <a:fld id="{2E454D45-F0FA-4F47-9A8A-436C0D300173}" type="CELLRANGE">
                      <a:rPr lang="en-IN"/>
                      <a:pPr/>
                      <a:t>[CELLRANGE]</a:t>
                    </a:fld>
                    <a:r>
                      <a:rPr lang="en-IN" baseline="0"/>
                      <a:t>, </a:t>
                    </a:r>
                    <a:fld id="{CC3D9BBA-696B-4667-B4B9-32BD60F73320}" type="CATEGORYNAME">
                      <a:rPr lang="en-IN" baseline="0"/>
                      <a:pPr/>
                      <a:t>[CATEGORY NAME]</a:t>
                    </a:fld>
                    <a:r>
                      <a:rPr lang="en-IN" baseline="0"/>
                      <a:t>, </a:t>
                    </a:r>
                    <a:fld id="{366DF338-B2A0-4B51-BABD-88D9F99A624D}"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B1F-42D5-97C0-1F6ED3F884EE}"/>
                </c:ext>
              </c:extLst>
            </c:dLbl>
            <c:dLbl>
              <c:idx val="19"/>
              <c:tx>
                <c:rich>
                  <a:bodyPr/>
                  <a:lstStyle/>
                  <a:p>
                    <a:fld id="{A0F02D06-331A-4806-8A96-8D654CE794AA}" type="CELLRANGE">
                      <a:rPr lang="en-IN"/>
                      <a:pPr/>
                      <a:t>[CELLRANGE]</a:t>
                    </a:fld>
                    <a:r>
                      <a:rPr lang="en-IN" baseline="0"/>
                      <a:t>, </a:t>
                    </a:r>
                    <a:fld id="{AA778DCC-6962-4D8E-AB90-8E9F70B6FB97}" type="CATEGORYNAME">
                      <a:rPr lang="en-IN" baseline="0"/>
                      <a:pPr/>
                      <a:t>[CATEGORY NAME]</a:t>
                    </a:fld>
                    <a:r>
                      <a:rPr lang="en-IN" baseline="0"/>
                      <a:t>, </a:t>
                    </a:r>
                    <a:fld id="{4FC319E7-80E0-4845-BF42-F0DE9520D18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B1F-42D5-97C0-1F6ED3F884EE}"/>
                </c:ext>
              </c:extLst>
            </c:dLbl>
            <c:dLbl>
              <c:idx val="20"/>
              <c:tx>
                <c:rich>
                  <a:bodyPr/>
                  <a:lstStyle/>
                  <a:p>
                    <a:fld id="{C6ACFF4A-2C58-483B-9C80-77F057547C04}" type="CELLRANGE">
                      <a:rPr lang="en-IN"/>
                      <a:pPr/>
                      <a:t>[CELLRANGE]</a:t>
                    </a:fld>
                    <a:r>
                      <a:rPr lang="en-IN" baseline="0"/>
                      <a:t>, </a:t>
                    </a:r>
                    <a:fld id="{AE351BC5-5B89-47C9-9750-72625CCB403C}" type="CATEGORYNAME">
                      <a:rPr lang="en-IN" baseline="0"/>
                      <a:pPr/>
                      <a:t>[CATEGORY NAME]</a:t>
                    </a:fld>
                    <a:r>
                      <a:rPr lang="en-IN" baseline="0"/>
                      <a:t>, </a:t>
                    </a:r>
                    <a:fld id="{A66AABC3-890D-4340-B25C-9267BA5383A3}"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AB1F-42D5-97C0-1F6ED3F884EE}"/>
                </c:ext>
              </c:extLst>
            </c:dLbl>
            <c:dLbl>
              <c:idx val="21"/>
              <c:tx>
                <c:rich>
                  <a:bodyPr/>
                  <a:lstStyle/>
                  <a:p>
                    <a:fld id="{17994B80-AD2A-4298-99BC-CB457AE66DCB}" type="CELLRANGE">
                      <a:rPr lang="en-IN"/>
                      <a:pPr/>
                      <a:t>[CELLRANGE]</a:t>
                    </a:fld>
                    <a:r>
                      <a:rPr lang="en-IN" baseline="0"/>
                      <a:t>, </a:t>
                    </a:r>
                    <a:fld id="{0E9C63BD-AE25-4182-834F-ECF07699C0D3}" type="CATEGORYNAME">
                      <a:rPr lang="en-IN" baseline="0"/>
                      <a:pPr/>
                      <a:t>[CATEGORY NAME]</a:t>
                    </a:fld>
                    <a:r>
                      <a:rPr lang="en-IN" baseline="0"/>
                      <a:t>, </a:t>
                    </a:r>
                    <a:fld id="{A905C854-D582-4E42-8208-4441F7F28BBC}"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AB1F-42D5-97C0-1F6ED3F884EE}"/>
                </c:ext>
              </c:extLst>
            </c:dLbl>
            <c:dLbl>
              <c:idx val="22"/>
              <c:tx>
                <c:rich>
                  <a:bodyPr/>
                  <a:lstStyle/>
                  <a:p>
                    <a:fld id="{67147133-29D9-47DA-BA5F-E186AF6C4B39}" type="CELLRANGE">
                      <a:rPr lang="en-IN"/>
                      <a:pPr/>
                      <a:t>[CELLRANGE]</a:t>
                    </a:fld>
                    <a:r>
                      <a:rPr lang="en-IN" baseline="0"/>
                      <a:t>, </a:t>
                    </a:r>
                    <a:fld id="{8B5FB7F8-707E-413E-A0C4-2171B2B8B70D}" type="CATEGORYNAME">
                      <a:rPr lang="en-IN" baseline="0"/>
                      <a:pPr/>
                      <a:t>[CATEGORY NAME]</a:t>
                    </a:fld>
                    <a:r>
                      <a:rPr lang="en-IN" baseline="0"/>
                      <a:t>, </a:t>
                    </a:r>
                    <a:fld id="{601A706E-911D-4250-BEF0-9A1BD35AB98B}"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AB1F-42D5-97C0-1F6ED3F884EE}"/>
                </c:ext>
              </c:extLst>
            </c:dLbl>
            <c:dLbl>
              <c:idx val="23"/>
              <c:tx>
                <c:rich>
                  <a:bodyPr/>
                  <a:lstStyle/>
                  <a:p>
                    <a:fld id="{063904FA-137C-4A9D-A874-D7F48760FB84}" type="CELLRANGE">
                      <a:rPr lang="en-IN"/>
                      <a:pPr/>
                      <a:t>[CELLRANGE]</a:t>
                    </a:fld>
                    <a:r>
                      <a:rPr lang="en-IN" baseline="0"/>
                      <a:t>, </a:t>
                    </a:r>
                    <a:fld id="{0DBF8073-D6A3-4C90-87DA-21B84450A8CF}" type="CATEGORYNAME">
                      <a:rPr lang="en-IN" baseline="0"/>
                      <a:pPr/>
                      <a:t>[CATEGORY NAME]</a:t>
                    </a:fld>
                    <a:r>
                      <a:rPr lang="en-IN" baseline="0"/>
                      <a:t>, </a:t>
                    </a:r>
                    <a:fld id="{820FA7E8-CBE8-461B-B5F8-77DB34ED8DC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AB1F-42D5-97C0-1F6ED3F884EE}"/>
                </c:ext>
              </c:extLst>
            </c:dLbl>
            <c:dLbl>
              <c:idx val="24"/>
              <c:tx>
                <c:rich>
                  <a:bodyPr/>
                  <a:lstStyle/>
                  <a:p>
                    <a:fld id="{91E34C97-0D38-4C9A-83E5-40703FFAF00A}" type="CELLRANGE">
                      <a:rPr lang="en-IN"/>
                      <a:pPr/>
                      <a:t>[CELLRANGE]</a:t>
                    </a:fld>
                    <a:r>
                      <a:rPr lang="en-IN" baseline="0"/>
                      <a:t>, </a:t>
                    </a:r>
                    <a:fld id="{6EEBA4E9-BE2C-4532-AB2D-73D16B84A7D1}" type="CATEGORYNAME">
                      <a:rPr lang="en-IN" baseline="0"/>
                      <a:pPr/>
                      <a:t>[CATEGORY NAME]</a:t>
                    </a:fld>
                    <a:r>
                      <a:rPr lang="en-IN" baseline="0"/>
                      <a:t>, </a:t>
                    </a:r>
                    <a:fld id="{27640C7A-FE90-4F48-8460-D7A029999E76}"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AB1F-42D5-97C0-1F6ED3F884EE}"/>
                </c:ext>
              </c:extLst>
            </c:dLbl>
            <c:dLbl>
              <c:idx val="25"/>
              <c:tx>
                <c:rich>
                  <a:bodyPr/>
                  <a:lstStyle/>
                  <a:p>
                    <a:fld id="{3892D9E9-DBEF-4D9A-90AD-36AAB1022B28}" type="CELLRANGE">
                      <a:rPr lang="en-IN"/>
                      <a:pPr/>
                      <a:t>[CELLRANGE]</a:t>
                    </a:fld>
                    <a:r>
                      <a:rPr lang="en-IN" baseline="0"/>
                      <a:t>, </a:t>
                    </a:r>
                    <a:fld id="{82AFF404-FA48-4081-851E-DA20596B6BB3}" type="CATEGORYNAME">
                      <a:rPr lang="en-IN" baseline="0"/>
                      <a:pPr/>
                      <a:t>[CATEGORY NAME]</a:t>
                    </a:fld>
                    <a:r>
                      <a:rPr lang="en-IN" baseline="0"/>
                      <a:t>, </a:t>
                    </a:r>
                    <a:fld id="{64FF14FB-6481-4BDD-B61F-9DB63FE0C0E9}"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AB1F-42D5-97C0-1F6ED3F884EE}"/>
                </c:ext>
              </c:extLst>
            </c:dLbl>
            <c:dLbl>
              <c:idx val="26"/>
              <c:tx>
                <c:rich>
                  <a:bodyPr/>
                  <a:lstStyle/>
                  <a:p>
                    <a:fld id="{39C1C537-EBEA-40FE-8535-7C26B6461321}" type="CELLRANGE">
                      <a:rPr lang="en-IN"/>
                      <a:pPr/>
                      <a:t>[CELLRANGE]</a:t>
                    </a:fld>
                    <a:r>
                      <a:rPr lang="en-IN" baseline="0"/>
                      <a:t>, </a:t>
                    </a:r>
                    <a:fld id="{4555868B-4DA6-46B4-BF14-DDE508FCB3CC}" type="CATEGORYNAME">
                      <a:rPr lang="en-IN" baseline="0"/>
                      <a:pPr/>
                      <a:t>[CATEGORY NAME]</a:t>
                    </a:fld>
                    <a:r>
                      <a:rPr lang="en-IN" baseline="0"/>
                      <a:t>, </a:t>
                    </a:r>
                    <a:fld id="{8C3B8597-FB8A-4649-8101-BE16FECF4EF9}"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AB1F-42D5-97C0-1F6ED3F884EE}"/>
                </c:ext>
              </c:extLst>
            </c:dLbl>
            <c:dLbl>
              <c:idx val="27"/>
              <c:tx>
                <c:rich>
                  <a:bodyPr/>
                  <a:lstStyle/>
                  <a:p>
                    <a:fld id="{100B9975-C334-4B46-8125-45A37D25DD4B}" type="CELLRANGE">
                      <a:rPr lang="en-IN"/>
                      <a:pPr/>
                      <a:t>[CELLRANGE]</a:t>
                    </a:fld>
                    <a:r>
                      <a:rPr lang="en-IN" baseline="0"/>
                      <a:t>, </a:t>
                    </a:r>
                    <a:fld id="{C3ECFDDC-2B63-4EEC-BC6D-3C42FC0BB0DF}" type="CATEGORYNAME">
                      <a:rPr lang="en-IN" baseline="0"/>
                      <a:pPr/>
                      <a:t>[CATEGORY NAME]</a:t>
                    </a:fld>
                    <a:r>
                      <a:rPr lang="en-IN" baseline="0"/>
                      <a:t>, </a:t>
                    </a:r>
                    <a:fld id="{B5ACF505-E8AE-404D-803E-27E3B54D2C86}"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AB1F-42D5-97C0-1F6ED3F884EE}"/>
                </c:ext>
              </c:extLst>
            </c:dLbl>
            <c:dLbl>
              <c:idx val="28"/>
              <c:tx>
                <c:rich>
                  <a:bodyPr/>
                  <a:lstStyle/>
                  <a:p>
                    <a:fld id="{9335C448-AF6C-4FAA-A834-070390DDC363}" type="CELLRANGE">
                      <a:rPr lang="en-IN"/>
                      <a:pPr/>
                      <a:t>[CELLRANGE]</a:t>
                    </a:fld>
                    <a:r>
                      <a:rPr lang="en-IN" baseline="0"/>
                      <a:t>, </a:t>
                    </a:r>
                    <a:fld id="{5622C88A-DEBF-47F6-8A3D-16299A5E0780}" type="CATEGORYNAME">
                      <a:rPr lang="en-IN" baseline="0"/>
                      <a:pPr/>
                      <a:t>[CATEGORY NAME]</a:t>
                    </a:fld>
                    <a:r>
                      <a:rPr lang="en-IN" baseline="0"/>
                      <a:t>, </a:t>
                    </a:r>
                    <a:fld id="{6C87A5B3-85A0-4546-A7B2-60C69A1133CF}"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AB1F-42D5-97C0-1F6ED3F884EE}"/>
                </c:ext>
              </c:extLst>
            </c:dLbl>
            <c:dLbl>
              <c:idx val="29"/>
              <c:tx>
                <c:rich>
                  <a:bodyPr/>
                  <a:lstStyle/>
                  <a:p>
                    <a:fld id="{E703970F-75F6-4287-B69A-A8B967EE8958}" type="CELLRANGE">
                      <a:rPr lang="en-IN"/>
                      <a:pPr/>
                      <a:t>[CELLRANGE]</a:t>
                    </a:fld>
                    <a:r>
                      <a:rPr lang="en-IN" baseline="0"/>
                      <a:t>, </a:t>
                    </a:r>
                    <a:fld id="{04DA0349-5E7B-48B3-8FDC-F384290AD536}" type="CATEGORYNAME">
                      <a:rPr lang="en-IN" baseline="0"/>
                      <a:pPr/>
                      <a:t>[CATEGORY NAME]</a:t>
                    </a:fld>
                    <a:r>
                      <a:rPr lang="en-IN" baseline="0"/>
                      <a:t>, </a:t>
                    </a:r>
                    <a:fld id="{FB44B14A-4CAB-4D58-AF78-2233CF7A4436}"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AB1F-42D5-97C0-1F6ED3F884EE}"/>
                </c:ext>
              </c:extLst>
            </c:dLbl>
            <c:dLbl>
              <c:idx val="30"/>
              <c:tx>
                <c:rich>
                  <a:bodyPr/>
                  <a:lstStyle/>
                  <a:p>
                    <a:fld id="{0DA284C7-D56A-4F1F-A861-758F7B4018B4}" type="CELLRANGE">
                      <a:rPr lang="en-IN"/>
                      <a:pPr/>
                      <a:t>[CELLRANGE]</a:t>
                    </a:fld>
                    <a:r>
                      <a:rPr lang="en-IN" baseline="0"/>
                      <a:t>, </a:t>
                    </a:r>
                    <a:fld id="{5DE0E23E-2D2B-43E9-AA22-0C94BAAB505F}" type="CATEGORYNAME">
                      <a:rPr lang="en-IN" baseline="0"/>
                      <a:pPr/>
                      <a:t>[CATEGORY NAME]</a:t>
                    </a:fld>
                    <a:r>
                      <a:rPr lang="en-IN" baseline="0"/>
                      <a:t>, </a:t>
                    </a:r>
                    <a:fld id="{FEAAE346-7C0E-4A7B-9DBA-71E28586370F}"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AB1F-42D5-97C0-1F6ED3F884EE}"/>
                </c:ext>
              </c:extLst>
            </c:dLbl>
            <c:dLbl>
              <c:idx val="31"/>
              <c:tx>
                <c:rich>
                  <a:bodyPr/>
                  <a:lstStyle/>
                  <a:p>
                    <a:fld id="{57926000-1612-4314-A527-15DA35A86A5B}" type="CELLRANGE">
                      <a:rPr lang="en-IN"/>
                      <a:pPr/>
                      <a:t>[CELLRANGE]</a:t>
                    </a:fld>
                    <a:r>
                      <a:rPr lang="en-IN" baseline="0"/>
                      <a:t>, </a:t>
                    </a:r>
                    <a:fld id="{DF12AD9A-2150-48DC-AF06-17D474272FAC}" type="CATEGORYNAME">
                      <a:rPr lang="en-IN" baseline="0"/>
                      <a:pPr/>
                      <a:t>[CATEGORY NAME]</a:t>
                    </a:fld>
                    <a:r>
                      <a:rPr lang="en-IN" baseline="0"/>
                      <a:t>, </a:t>
                    </a:r>
                    <a:fld id="{2F9184DE-83ED-4A07-A722-760BA20AC6C8}"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AB1F-42D5-97C0-1F6ED3F884EE}"/>
                </c:ext>
              </c:extLst>
            </c:dLbl>
            <c:dLbl>
              <c:idx val="32"/>
              <c:tx>
                <c:rich>
                  <a:bodyPr/>
                  <a:lstStyle/>
                  <a:p>
                    <a:fld id="{37D1ECFC-E237-4860-9F33-E1567F38D596}" type="CELLRANGE">
                      <a:rPr lang="en-IN"/>
                      <a:pPr/>
                      <a:t>[CELLRANGE]</a:t>
                    </a:fld>
                    <a:r>
                      <a:rPr lang="en-IN" baseline="0"/>
                      <a:t>, </a:t>
                    </a:r>
                    <a:fld id="{B675BE56-913C-403F-800A-DE49799887A2}" type="CATEGORYNAME">
                      <a:rPr lang="en-IN" baseline="0"/>
                      <a:pPr/>
                      <a:t>[CATEGORY NAME]</a:t>
                    </a:fld>
                    <a:r>
                      <a:rPr lang="en-IN" baseline="0"/>
                      <a:t>, </a:t>
                    </a:r>
                    <a:fld id="{618A6339-D700-4C0C-92BA-CD3D937DB50A}"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AB1F-42D5-97C0-1F6ED3F884EE}"/>
                </c:ext>
              </c:extLst>
            </c:dLbl>
            <c:dLbl>
              <c:idx val="33"/>
              <c:tx>
                <c:rich>
                  <a:bodyPr/>
                  <a:lstStyle/>
                  <a:p>
                    <a:fld id="{B65DE678-8B72-432C-8BF2-7323B79CC740}" type="CELLRANGE">
                      <a:rPr lang="en-IN"/>
                      <a:pPr/>
                      <a:t>[CELLRANGE]</a:t>
                    </a:fld>
                    <a:r>
                      <a:rPr lang="en-IN" baseline="0"/>
                      <a:t>, </a:t>
                    </a:r>
                    <a:fld id="{F3990332-1564-4B77-827E-D1ED1EC4F8B8}" type="CATEGORYNAME">
                      <a:rPr lang="en-IN" baseline="0"/>
                      <a:pPr/>
                      <a:t>[CATEGORY NAME]</a:t>
                    </a:fld>
                    <a:r>
                      <a:rPr lang="en-IN" baseline="0"/>
                      <a:t>, </a:t>
                    </a:r>
                    <a:fld id="{C5B7D9B2-4B16-4BE8-9CAE-DB36C9A0FD28}"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AB1F-42D5-97C0-1F6ED3F884EE}"/>
                </c:ext>
              </c:extLst>
            </c:dLbl>
            <c:dLbl>
              <c:idx val="34"/>
              <c:tx>
                <c:rich>
                  <a:bodyPr/>
                  <a:lstStyle/>
                  <a:p>
                    <a:fld id="{D95CA030-5F89-4D80-BB44-364944D17641}" type="CELLRANGE">
                      <a:rPr lang="en-IN"/>
                      <a:pPr/>
                      <a:t>[CELLRANGE]</a:t>
                    </a:fld>
                    <a:r>
                      <a:rPr lang="en-IN" baseline="0"/>
                      <a:t>, </a:t>
                    </a:r>
                    <a:fld id="{D621EE61-1A3D-4D8C-BBC0-05CE73326073}" type="CATEGORYNAME">
                      <a:rPr lang="en-IN" baseline="0"/>
                      <a:pPr/>
                      <a:t>[CATEGORY NAME]</a:t>
                    </a:fld>
                    <a:r>
                      <a:rPr lang="en-IN" baseline="0"/>
                      <a:t>, </a:t>
                    </a:r>
                    <a:fld id="{34E82EA0-747F-4762-978A-73599003DED3}"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AB1F-42D5-97C0-1F6ED3F884EE}"/>
                </c:ext>
              </c:extLst>
            </c:dLbl>
            <c:dLbl>
              <c:idx val="35"/>
              <c:tx>
                <c:rich>
                  <a:bodyPr/>
                  <a:lstStyle/>
                  <a:p>
                    <a:fld id="{960412F7-7F63-4EF6-9ACF-1768F0F870CF}" type="CELLRANGE">
                      <a:rPr lang="en-IN"/>
                      <a:pPr/>
                      <a:t>[CELLRANGE]</a:t>
                    </a:fld>
                    <a:r>
                      <a:rPr lang="en-IN" baseline="0"/>
                      <a:t>, </a:t>
                    </a:r>
                    <a:fld id="{399BC170-083D-4144-912E-AE59FDD67449}" type="CATEGORYNAME">
                      <a:rPr lang="en-IN" baseline="0"/>
                      <a:pPr/>
                      <a:t>[CATEGORY NAME]</a:t>
                    </a:fld>
                    <a:r>
                      <a:rPr lang="en-IN" baseline="0"/>
                      <a:t>, </a:t>
                    </a:r>
                    <a:fld id="{94801515-9107-47AE-9B94-F4A5AD6D6491}"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AB1F-42D5-97C0-1F6ED3F884EE}"/>
                </c:ext>
              </c:extLst>
            </c:dLbl>
            <c:dLbl>
              <c:idx val="36"/>
              <c:tx>
                <c:rich>
                  <a:bodyPr/>
                  <a:lstStyle/>
                  <a:p>
                    <a:fld id="{81643764-FA96-4D1C-BECF-9787A6F1E01A}" type="CELLRANGE">
                      <a:rPr lang="en-IN"/>
                      <a:pPr/>
                      <a:t>[CELLRANGE]</a:t>
                    </a:fld>
                    <a:r>
                      <a:rPr lang="en-IN" baseline="0"/>
                      <a:t>, </a:t>
                    </a:r>
                    <a:fld id="{4A99EB20-A8B8-4FBA-BC96-CAFF42BB650A}" type="CATEGORYNAME">
                      <a:rPr lang="en-IN" baseline="0"/>
                      <a:pPr/>
                      <a:t>[CATEGORY NAME]</a:t>
                    </a:fld>
                    <a:r>
                      <a:rPr lang="en-IN" baseline="0"/>
                      <a:t>, </a:t>
                    </a:r>
                    <a:fld id="{6F31EC0D-4FB1-4D46-89B4-9C8EB0EDCA49}"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AB1F-42D5-97C0-1F6ED3F884EE}"/>
                </c:ext>
              </c:extLst>
            </c:dLbl>
            <c:dLbl>
              <c:idx val="37"/>
              <c:tx>
                <c:rich>
                  <a:bodyPr/>
                  <a:lstStyle/>
                  <a:p>
                    <a:fld id="{06B34A32-01A3-4927-B897-E736217818C3}" type="CELLRANGE">
                      <a:rPr lang="en-IN"/>
                      <a:pPr/>
                      <a:t>[CELLRANGE]</a:t>
                    </a:fld>
                    <a:r>
                      <a:rPr lang="en-IN" baseline="0"/>
                      <a:t>, </a:t>
                    </a:r>
                    <a:fld id="{077F4C74-6865-4A8E-9AC8-A80AC306ED9C}" type="CATEGORYNAME">
                      <a:rPr lang="en-IN" baseline="0"/>
                      <a:pPr/>
                      <a:t>[CATEGORY NAME]</a:t>
                    </a:fld>
                    <a:r>
                      <a:rPr lang="en-IN" baseline="0"/>
                      <a:t>, </a:t>
                    </a:r>
                    <a:fld id="{5DC940D9-8E18-497F-A268-9ECB0D0C541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AB1F-42D5-97C0-1F6ED3F884EE}"/>
                </c:ext>
              </c:extLst>
            </c:dLbl>
            <c:dLbl>
              <c:idx val="38"/>
              <c:tx>
                <c:rich>
                  <a:bodyPr/>
                  <a:lstStyle/>
                  <a:p>
                    <a:fld id="{5DFB31AE-602C-4026-9F8E-B1979FE5D79A}" type="CELLRANGE">
                      <a:rPr lang="en-IN"/>
                      <a:pPr/>
                      <a:t>[CELLRANGE]</a:t>
                    </a:fld>
                    <a:r>
                      <a:rPr lang="en-IN" baseline="0"/>
                      <a:t>, </a:t>
                    </a:r>
                    <a:fld id="{FC2617CB-C951-4666-95CE-D05FBBEEE4FA}" type="CATEGORYNAME">
                      <a:rPr lang="en-IN" baseline="0"/>
                      <a:pPr/>
                      <a:t>[CATEGORY NAME]</a:t>
                    </a:fld>
                    <a:r>
                      <a:rPr lang="en-IN" baseline="0"/>
                      <a:t>, </a:t>
                    </a:r>
                    <a:fld id="{A75F4D78-AE7F-418E-B900-967F12D277F5}"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AB1F-42D5-97C0-1F6ED3F884EE}"/>
                </c:ext>
              </c:extLst>
            </c:dLbl>
            <c:dLbl>
              <c:idx val="39"/>
              <c:tx>
                <c:rich>
                  <a:bodyPr/>
                  <a:lstStyle/>
                  <a:p>
                    <a:fld id="{54AAA808-DA67-437E-ADB2-E38EFC8E67EC}" type="CELLRANGE">
                      <a:rPr lang="en-IN"/>
                      <a:pPr/>
                      <a:t>[CELLRANGE]</a:t>
                    </a:fld>
                    <a:r>
                      <a:rPr lang="en-IN" baseline="0"/>
                      <a:t>, </a:t>
                    </a:r>
                    <a:fld id="{C0E3FFE0-F747-47E0-B824-8DD12EBD5F54}" type="CATEGORYNAME">
                      <a:rPr lang="en-IN" baseline="0"/>
                      <a:pPr/>
                      <a:t>[CATEGORY NAME]</a:t>
                    </a:fld>
                    <a:r>
                      <a:rPr lang="en-IN" baseline="0"/>
                      <a:t>, </a:t>
                    </a:r>
                    <a:fld id="{33786A6C-D6BA-4D97-A666-91C48888EFEA}"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AB1F-42D5-97C0-1F6ED3F884EE}"/>
                </c:ext>
              </c:extLst>
            </c:dLbl>
            <c:dLbl>
              <c:idx val="40"/>
              <c:tx>
                <c:rich>
                  <a:bodyPr/>
                  <a:lstStyle/>
                  <a:p>
                    <a:fld id="{C0D476E0-99C0-4468-AF57-A98D0148DFEF}" type="CELLRANGE">
                      <a:rPr lang="en-IN"/>
                      <a:pPr/>
                      <a:t>[CELLRANGE]</a:t>
                    </a:fld>
                    <a:r>
                      <a:rPr lang="en-IN" baseline="0"/>
                      <a:t>, </a:t>
                    </a:r>
                    <a:fld id="{C9918AAB-4C3B-4562-94A4-8FA3EF924E81}" type="CATEGORYNAME">
                      <a:rPr lang="en-IN" baseline="0"/>
                      <a:pPr/>
                      <a:t>[CATEGORY NAME]</a:t>
                    </a:fld>
                    <a:r>
                      <a:rPr lang="en-IN" baseline="0"/>
                      <a:t>, </a:t>
                    </a:r>
                    <a:fld id="{3D561584-4631-4C0D-A719-73DBF996738F}"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AB1F-42D5-97C0-1F6ED3F884EE}"/>
                </c:ext>
              </c:extLst>
            </c:dLbl>
            <c:dLbl>
              <c:idx val="41"/>
              <c:tx>
                <c:rich>
                  <a:bodyPr/>
                  <a:lstStyle/>
                  <a:p>
                    <a:fld id="{D9FCEAC1-D076-4985-AB61-5A52DC8FCCD2}" type="CELLRANGE">
                      <a:rPr lang="en-IN"/>
                      <a:pPr/>
                      <a:t>[CELLRANGE]</a:t>
                    </a:fld>
                    <a:r>
                      <a:rPr lang="en-IN" baseline="0"/>
                      <a:t>, </a:t>
                    </a:r>
                    <a:fld id="{600E4F89-A716-4DD6-AE7A-8B4DBB41E783}" type="CATEGORYNAME">
                      <a:rPr lang="en-IN" baseline="0"/>
                      <a:pPr/>
                      <a:t>[CATEGORY NAME]</a:t>
                    </a:fld>
                    <a:r>
                      <a:rPr lang="en-IN" baseline="0"/>
                      <a:t>, </a:t>
                    </a:r>
                    <a:fld id="{D5283E4D-568C-498C-8001-DAC3A5EC06E7}"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AB1F-42D5-97C0-1F6ED3F884EE}"/>
                </c:ext>
              </c:extLst>
            </c:dLbl>
            <c:dLbl>
              <c:idx val="42"/>
              <c:tx>
                <c:rich>
                  <a:bodyPr/>
                  <a:lstStyle/>
                  <a:p>
                    <a:fld id="{D407372F-3F83-45E3-A158-0F0E689AE58C}" type="CELLRANGE">
                      <a:rPr lang="en-IN"/>
                      <a:pPr/>
                      <a:t>[CELLRANGE]</a:t>
                    </a:fld>
                    <a:r>
                      <a:rPr lang="en-IN" baseline="0"/>
                      <a:t>, </a:t>
                    </a:r>
                    <a:fld id="{5568BA07-E53A-4518-949B-02A1076EC7E3}" type="CATEGORYNAME">
                      <a:rPr lang="en-IN" baseline="0"/>
                      <a:pPr/>
                      <a:t>[CATEGORY NAME]</a:t>
                    </a:fld>
                    <a:r>
                      <a:rPr lang="en-IN" baseline="0"/>
                      <a:t>, </a:t>
                    </a:r>
                    <a:fld id="{C1832A99-62D7-4559-AB76-298261B5AE53}"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AB1F-42D5-97C0-1F6ED3F884EE}"/>
                </c:ext>
              </c:extLst>
            </c:dLbl>
            <c:dLbl>
              <c:idx val="43"/>
              <c:tx>
                <c:rich>
                  <a:bodyPr/>
                  <a:lstStyle/>
                  <a:p>
                    <a:fld id="{AFA535F8-B551-4FC0-B753-40E1832BD6AD}" type="CELLRANGE">
                      <a:rPr lang="en-IN"/>
                      <a:pPr/>
                      <a:t>[CELLRANGE]</a:t>
                    </a:fld>
                    <a:r>
                      <a:rPr lang="en-IN" baseline="0"/>
                      <a:t>, </a:t>
                    </a:r>
                    <a:fld id="{DB7F1D33-C970-415B-B749-E2D86DC0F3A4}" type="CATEGORYNAME">
                      <a:rPr lang="en-IN" baseline="0"/>
                      <a:pPr/>
                      <a:t>[CATEGORY NAME]</a:t>
                    </a:fld>
                    <a:r>
                      <a:rPr lang="en-IN" baseline="0"/>
                      <a:t>, </a:t>
                    </a:r>
                    <a:fld id="{32395FCF-EBD7-4FFC-AE9C-7ED2ED5C8F9E}"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AB1F-42D5-97C0-1F6ED3F884EE}"/>
                </c:ext>
              </c:extLst>
            </c:dLbl>
            <c:dLbl>
              <c:idx val="44"/>
              <c:tx>
                <c:rich>
                  <a:bodyPr/>
                  <a:lstStyle/>
                  <a:p>
                    <a:fld id="{5F80A78B-3A04-4DA0-98FE-F9E4AD31B4BC}" type="CELLRANGE">
                      <a:rPr lang="en-IN"/>
                      <a:pPr/>
                      <a:t>[CELLRANGE]</a:t>
                    </a:fld>
                    <a:r>
                      <a:rPr lang="en-IN" baseline="0"/>
                      <a:t>, </a:t>
                    </a:r>
                    <a:fld id="{F09D7518-F384-4896-8484-8415D9FDD295}" type="CATEGORYNAME">
                      <a:rPr lang="en-IN" baseline="0"/>
                      <a:pPr/>
                      <a:t>[CATEGORY NAME]</a:t>
                    </a:fld>
                    <a:r>
                      <a:rPr lang="en-IN" baseline="0"/>
                      <a:t>, </a:t>
                    </a:r>
                    <a:fld id="{3DAEE9B1-B5A7-4698-95B8-8884A8D08C7D}"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AB1F-42D5-97C0-1F6ED3F884EE}"/>
                </c:ext>
              </c:extLst>
            </c:dLbl>
            <c:dLbl>
              <c:idx val="45"/>
              <c:tx>
                <c:rich>
                  <a:bodyPr/>
                  <a:lstStyle/>
                  <a:p>
                    <a:fld id="{E52657B0-4488-42C0-8212-2C57CD76D0C5}" type="CELLRANGE">
                      <a:rPr lang="en-IN"/>
                      <a:pPr/>
                      <a:t>[CELLRANGE]</a:t>
                    </a:fld>
                    <a:r>
                      <a:rPr lang="en-IN" baseline="0"/>
                      <a:t>, </a:t>
                    </a:r>
                    <a:fld id="{314C0E8C-DDE9-45FD-B4DE-5A8AA45A29F0}" type="CATEGORYNAME">
                      <a:rPr lang="en-IN" baseline="0"/>
                      <a:pPr/>
                      <a:t>[CATEGORY NAME]</a:t>
                    </a:fld>
                    <a:r>
                      <a:rPr lang="en-IN" baseline="0"/>
                      <a:t>, </a:t>
                    </a:r>
                    <a:fld id="{1D8047DF-0345-41D1-9C76-875EDBE99F0A}"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AB1F-42D5-97C0-1F6ED3F884EE}"/>
                </c:ext>
              </c:extLst>
            </c:dLbl>
            <c:dLbl>
              <c:idx val="46"/>
              <c:tx>
                <c:rich>
                  <a:bodyPr/>
                  <a:lstStyle/>
                  <a:p>
                    <a:fld id="{633A4BF6-4A72-4380-8D05-EFB2E6A326D6}" type="CELLRANGE">
                      <a:rPr lang="en-IN"/>
                      <a:pPr/>
                      <a:t>[CELLRANGE]</a:t>
                    </a:fld>
                    <a:r>
                      <a:rPr lang="en-IN" baseline="0"/>
                      <a:t>, </a:t>
                    </a:r>
                    <a:fld id="{099C9612-41FF-4D66-B0CF-45062EBAD5C2}" type="CATEGORYNAME">
                      <a:rPr lang="en-IN" baseline="0"/>
                      <a:pPr/>
                      <a:t>[CATEGORY NAME]</a:t>
                    </a:fld>
                    <a:r>
                      <a:rPr lang="en-IN" baseline="0"/>
                      <a:t>, </a:t>
                    </a:r>
                    <a:fld id="{03385AD3-6E47-4C91-BD67-0BA3CB57F947}"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AB1F-42D5-97C0-1F6ED3F884EE}"/>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1"/>
                <c15:leaderLines>
                  <c:spPr>
                    <a:ln w="9525">
                      <a:solidFill>
                        <a:schemeClr val="tx2">
                          <a:lumMod val="35000"/>
                          <a:lumOff val="65000"/>
                        </a:schemeClr>
                      </a:solidFill>
                    </a:ln>
                    <a:effectLst/>
                  </c:spPr>
                </c15:leaderLines>
              </c:ext>
            </c:extLst>
          </c:dLbls>
          <c:val>
            <c:numRef>
              <c:f>'Dynamic Data-RE'!$H$58:$H$104</c:f>
              <c:numCache>
                <c:formatCode>General</c:formatCode>
                <c:ptCount val="47"/>
                <c:pt idx="0">
                  <c:v>-3.5000000000000003E-2</c:v>
                </c:pt>
                <c:pt idx="1">
                  <c:v>-0.22</c:v>
                </c:pt>
                <c:pt idx="2">
                  <c:v>0.35</c:v>
                </c:pt>
                <c:pt idx="3">
                  <c:v>0.28000000000000003</c:v>
                </c:pt>
                <c:pt idx="4">
                  <c:v>0.42099999999999999</c:v>
                </c:pt>
                <c:pt idx="5">
                  <c:v>0.27</c:v>
                </c:pt>
                <c:pt idx="6">
                  <c:v>-0.53</c:v>
                </c:pt>
                <c:pt idx="7">
                  <c:v>1.03</c:v>
                </c:pt>
                <c:pt idx="8">
                  <c:v>0.33599999999999997</c:v>
                </c:pt>
                <c:pt idx="9">
                  <c:v>0</c:v>
                </c:pt>
                <c:pt idx="10">
                  <c:v>0</c:v>
                </c:pt>
                <c:pt idx="11">
                  <c:v>0</c:v>
                </c:pt>
                <c:pt idx="12">
                  <c:v>0</c:v>
                </c:pt>
                <c:pt idx="13">
                  <c:v>1.095</c:v>
                </c:pt>
                <c:pt idx="14">
                  <c:v>0.30959999999999999</c:v>
                </c:pt>
                <c:pt idx="15">
                  <c:v>0.46129999999999999</c:v>
                </c:pt>
                <c:pt idx="16">
                  <c:v>-8.9999999999999993E-3</c:v>
                </c:pt>
                <c:pt idx="17">
                  <c:v>-0.11</c:v>
                </c:pt>
                <c:pt idx="18">
                  <c:v>0.79800000000000004</c:v>
                </c:pt>
                <c:pt idx="19">
                  <c:v>0.28999999999999998</c:v>
                </c:pt>
                <c:pt idx="20">
                  <c:v>0.16900000000000001</c:v>
                </c:pt>
                <c:pt idx="21">
                  <c:v>0.21779999999999999</c:v>
                </c:pt>
                <c:pt idx="22">
                  <c:v>-0.27</c:v>
                </c:pt>
                <c:pt idx="23">
                  <c:v>1.0900000000000001</c:v>
                </c:pt>
                <c:pt idx="24">
                  <c:v>0.22399999999999998</c:v>
                </c:pt>
                <c:pt idx="25">
                  <c:v>0</c:v>
                </c:pt>
                <c:pt idx="26">
                  <c:v>0</c:v>
                </c:pt>
                <c:pt idx="27">
                  <c:v>0</c:v>
                </c:pt>
                <c:pt idx="28">
                  <c:v>0</c:v>
                </c:pt>
                <c:pt idx="29">
                  <c:v>0.29199999999999998</c:v>
                </c:pt>
                <c:pt idx="30">
                  <c:v>0.121</c:v>
                </c:pt>
                <c:pt idx="31">
                  <c:v>0.28699999999999998</c:v>
                </c:pt>
                <c:pt idx="32">
                  <c:v>0.29139999999999999</c:v>
                </c:pt>
                <c:pt idx="33">
                  <c:v>-4.6600000000000003E-2</c:v>
                </c:pt>
                <c:pt idx="34">
                  <c:v>1</c:v>
                </c:pt>
                <c:pt idx="35">
                  <c:v>0.28000000000000003</c:v>
                </c:pt>
                <c:pt idx="36">
                  <c:v>3.5000000000000001E-3</c:v>
                </c:pt>
                <c:pt idx="37">
                  <c:v>0</c:v>
                </c:pt>
                <c:pt idx="38">
                  <c:v>-2.7E-2</c:v>
                </c:pt>
                <c:pt idx="39">
                  <c:v>1.0900000000000001</c:v>
                </c:pt>
                <c:pt idx="40">
                  <c:v>2.9999999999999992E-4</c:v>
                </c:pt>
                <c:pt idx="41">
                  <c:v>0</c:v>
                </c:pt>
                <c:pt idx="42">
                  <c:v>0</c:v>
                </c:pt>
                <c:pt idx="43">
                  <c:v>0</c:v>
                </c:pt>
                <c:pt idx="44">
                  <c:v>0</c:v>
                </c:pt>
                <c:pt idx="45">
                  <c:v>0.3</c:v>
                </c:pt>
                <c:pt idx="46">
                  <c:v>0.04</c:v>
                </c:pt>
              </c:numCache>
            </c:numRef>
          </c:val>
          <c:extLst>
            <c:ext xmlns:c15="http://schemas.microsoft.com/office/drawing/2012/chart" uri="{02D57815-91ED-43cb-92C2-25804820EDAC}">
              <c15:datalabelsRange>
                <c15:f>'Dynamic Data-RE'!$C$58:$C$104</c15:f>
                <c15:dlblRangeCache>
                  <c:ptCount val="47"/>
                  <c:pt idx="0">
                    <c:v>V=15%</c:v>
                  </c:pt>
                  <c:pt idx="1">
                    <c:v>V=15%</c:v>
                  </c:pt>
                  <c:pt idx="2">
                    <c:v>V=15%</c:v>
                  </c:pt>
                  <c:pt idx="3">
                    <c:v>V=15%</c:v>
                  </c:pt>
                  <c:pt idx="4">
                    <c:v>V=15%</c:v>
                  </c:pt>
                  <c:pt idx="5">
                    <c:v>V=15%</c:v>
                  </c:pt>
                  <c:pt idx="6">
                    <c:v>V=15%</c:v>
                  </c:pt>
                  <c:pt idx="7">
                    <c:v>V=15%</c:v>
                  </c:pt>
                  <c:pt idx="8">
                    <c:v>V=15%</c:v>
                  </c:pt>
                  <c:pt idx="9">
                    <c:v>V=15%</c:v>
                  </c:pt>
                  <c:pt idx="10">
                    <c:v>V=15%</c:v>
                  </c:pt>
                  <c:pt idx="11">
                    <c:v>V=15%</c:v>
                  </c:pt>
                  <c:pt idx="12">
                    <c:v>V=15%</c:v>
                  </c:pt>
                  <c:pt idx="13">
                    <c:v>V=15%</c:v>
                  </c:pt>
                  <c:pt idx="14">
                    <c:v>V=15%</c:v>
                  </c:pt>
                  <c:pt idx="15">
                    <c:v>V=15%</c:v>
                  </c:pt>
                  <c:pt idx="16">
                    <c:v>V=50%</c:v>
                  </c:pt>
                  <c:pt idx="17">
                    <c:v>V=50%</c:v>
                  </c:pt>
                  <c:pt idx="18">
                    <c:v>V=50%</c:v>
                  </c:pt>
                  <c:pt idx="19">
                    <c:v>V=50%</c:v>
                  </c:pt>
                  <c:pt idx="20">
                    <c:v>V=50%</c:v>
                  </c:pt>
                  <c:pt idx="21">
                    <c:v>V=50%</c:v>
                  </c:pt>
                  <c:pt idx="22">
                    <c:v>V=50%</c:v>
                  </c:pt>
                  <c:pt idx="23">
                    <c:v>V=50%</c:v>
                  </c:pt>
                  <c:pt idx="24">
                    <c:v>V=50%</c:v>
                  </c:pt>
                  <c:pt idx="25">
                    <c:v>V=50%</c:v>
                  </c:pt>
                  <c:pt idx="26">
                    <c:v>V=50%</c:v>
                  </c:pt>
                  <c:pt idx="27">
                    <c:v>V=50%</c:v>
                  </c:pt>
                  <c:pt idx="28">
                    <c:v>V=50%</c:v>
                  </c:pt>
                  <c:pt idx="29">
                    <c:v>V=50%</c:v>
                  </c:pt>
                  <c:pt idx="30">
                    <c:v>V=50%</c:v>
                  </c:pt>
                  <c:pt idx="31">
                    <c:v>V=50%</c:v>
                  </c:pt>
                  <c:pt idx="32">
                    <c:v>V=85%</c:v>
                  </c:pt>
                  <c:pt idx="33">
                    <c:v>V=85%</c:v>
                  </c:pt>
                  <c:pt idx="34">
                    <c:v>V=85%</c:v>
                  </c:pt>
                  <c:pt idx="35">
                    <c:v>V=85%</c:v>
                  </c:pt>
                  <c:pt idx="36">
                    <c:v>V=85%</c:v>
                  </c:pt>
                  <c:pt idx="37">
                    <c:v>V=85%</c:v>
                  </c:pt>
                  <c:pt idx="38">
                    <c:v>V=85%</c:v>
                  </c:pt>
                  <c:pt idx="39">
                    <c:v>V=85%</c:v>
                  </c:pt>
                  <c:pt idx="40">
                    <c:v>V=85%</c:v>
                  </c:pt>
                  <c:pt idx="41">
                    <c:v>V=85%</c:v>
                  </c:pt>
                  <c:pt idx="42">
                    <c:v>V=85%</c:v>
                  </c:pt>
                  <c:pt idx="43">
                    <c:v>V=85%</c:v>
                  </c:pt>
                  <c:pt idx="44">
                    <c:v>V=85%</c:v>
                  </c:pt>
                  <c:pt idx="45">
                    <c:v>V=85%</c:v>
                  </c:pt>
                  <c:pt idx="46">
                    <c:v>V=85%</c:v>
                  </c:pt>
                </c15:dlblRangeCache>
              </c15:datalabelsRange>
            </c:ext>
            <c:ext xmlns:c16="http://schemas.microsoft.com/office/drawing/2014/chart" uri="{C3380CC4-5D6E-409C-BE32-E72D297353CC}">
              <c16:uniqueId val="{00000000-8A0E-48D8-AEF7-F29CA5F91596}"/>
            </c:ext>
          </c:extLst>
        </c:ser>
        <c:dLbls>
          <c:showLegendKey val="0"/>
          <c:showVal val="0"/>
          <c:showCatName val="0"/>
          <c:showSerName val="0"/>
          <c:showPercent val="0"/>
          <c:showBubbleSize val="0"/>
        </c:dLbls>
        <c:axId val="576272864"/>
        <c:axId val="576284384"/>
      </c:radarChart>
      <c:catAx>
        <c:axId val="576272864"/>
        <c:scaling>
          <c:orientation val="minMax"/>
        </c:scaling>
        <c:delete val="0"/>
        <c:axPos val="b"/>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76284384"/>
        <c:crosses val="autoZero"/>
        <c:auto val="1"/>
        <c:lblAlgn val="ctr"/>
        <c:lblOffset val="100"/>
        <c:noMultiLvlLbl val="0"/>
      </c:catAx>
      <c:valAx>
        <c:axId val="57628438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7627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baseline="0">
                <a:solidFill>
                  <a:schemeClr val="tx2"/>
                </a:solidFill>
                <a:latin typeface="+mn-lt"/>
                <a:ea typeface="+mn-ea"/>
                <a:cs typeface="+mn-cs"/>
              </a:defRPr>
            </a:pPr>
            <a:r>
              <a:rPr lang="en-IN" sz="2400"/>
              <a:t> HVRT_Del_Iq_3PH</a:t>
            </a:r>
          </a:p>
          <a:p>
            <a:pPr>
              <a:defRPr sz="2400"/>
            </a:pPr>
            <a:r>
              <a:rPr lang="en-IN" sz="2400"/>
              <a:t>INV/WTG/PCS/SVG</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2"/>
              </a:solidFill>
              <a:latin typeface="+mn-lt"/>
              <a:ea typeface="+mn-ea"/>
              <a:cs typeface="+mn-cs"/>
            </a:defRPr>
          </a:pPr>
          <a:endParaRPr lang="en-US"/>
        </a:p>
      </c:txPr>
    </c:title>
    <c:autoTitleDeleted val="0"/>
    <c:plotArea>
      <c:layout/>
      <c:radarChart>
        <c:radarStyle val="marker"/>
        <c:varyColors val="0"/>
        <c:ser>
          <c:idx val="0"/>
          <c:order val="0"/>
          <c:tx>
            <c:v>Del_Iq_PSSE</c:v>
          </c:tx>
          <c:spPr>
            <a:ln w="31750" cap="rnd">
              <a:solidFill>
                <a:schemeClr val="accent1"/>
              </a:solidFill>
              <a:round/>
            </a:ln>
            <a:effectLst/>
          </c:spPr>
          <c:marker>
            <c:symbol val="none"/>
          </c:marker>
          <c:dLbls>
            <c:dLbl>
              <c:idx val="0"/>
              <c:tx>
                <c:rich>
                  <a:bodyPr/>
                  <a:lstStyle/>
                  <a:p>
                    <a:fld id="{2CF1FAA7-4211-49FB-BDCA-73F9B9A03892}" type="CELLRANGE">
                      <a:rPr lang="en-IN"/>
                      <a:pPr/>
                      <a:t>[CELLRANGE]</a:t>
                    </a:fld>
                    <a:r>
                      <a:rPr lang="en-IN" baseline="0"/>
                      <a:t>, </a:t>
                    </a:r>
                    <a:fld id="{FDFA18D1-DE9C-42B8-B02D-FCAB3645877C}" type="CATEGORYNAME">
                      <a:rPr lang="en-IN" baseline="0"/>
                      <a:pPr/>
                      <a:t>[CATEGORY NAME]</a:t>
                    </a:fld>
                    <a:r>
                      <a:rPr lang="en-IN" baseline="0"/>
                      <a:t>, </a:t>
                    </a:r>
                    <a:fld id="{C2F047E0-27B2-4F87-84CA-75921432227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3B3-45CC-9D1D-5AE54C5A159D}"/>
                </c:ext>
              </c:extLst>
            </c:dLbl>
            <c:dLbl>
              <c:idx val="1"/>
              <c:tx>
                <c:rich>
                  <a:bodyPr/>
                  <a:lstStyle/>
                  <a:p>
                    <a:fld id="{B667E076-C8F8-4876-82A8-8A412FCDA1D7}" type="CELLRANGE">
                      <a:rPr lang="en-IN"/>
                      <a:pPr/>
                      <a:t>[CELLRANGE]</a:t>
                    </a:fld>
                    <a:r>
                      <a:rPr lang="en-IN" baseline="0"/>
                      <a:t>, </a:t>
                    </a:r>
                    <a:fld id="{2F5A98EC-BF56-481F-9F19-8E6AE9C7605C}" type="CATEGORYNAME">
                      <a:rPr lang="en-IN" baseline="0"/>
                      <a:pPr/>
                      <a:t>[CATEGORY NAME]</a:t>
                    </a:fld>
                    <a:r>
                      <a:rPr lang="en-IN" baseline="0"/>
                      <a:t>, </a:t>
                    </a:r>
                    <a:fld id="{E1779C7C-13DD-4193-A077-D34DF769B7B3}"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3B3-45CC-9D1D-5AE54C5A159D}"/>
                </c:ext>
              </c:extLst>
            </c:dLbl>
            <c:dLbl>
              <c:idx val="2"/>
              <c:tx>
                <c:rich>
                  <a:bodyPr/>
                  <a:lstStyle/>
                  <a:p>
                    <a:fld id="{646ED340-482B-416E-8C95-36156B97794B}" type="CELLRANGE">
                      <a:rPr lang="en-IN"/>
                      <a:pPr/>
                      <a:t>[CELLRANGE]</a:t>
                    </a:fld>
                    <a:r>
                      <a:rPr lang="en-IN" baseline="0"/>
                      <a:t>, </a:t>
                    </a:r>
                    <a:fld id="{4676E70D-1212-428F-AD66-71245FF812C2}" type="CATEGORYNAME">
                      <a:rPr lang="en-IN" baseline="0"/>
                      <a:pPr/>
                      <a:t>[CATEGORY NAME]</a:t>
                    </a:fld>
                    <a:r>
                      <a:rPr lang="en-IN" baseline="0"/>
                      <a:t>, </a:t>
                    </a:r>
                    <a:fld id="{DFAFBBBA-42D2-48ED-8C54-EE3415865EF6}"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3B3-45CC-9D1D-5AE54C5A159D}"/>
                </c:ext>
              </c:extLst>
            </c:dLbl>
            <c:dLbl>
              <c:idx val="3"/>
              <c:tx>
                <c:rich>
                  <a:bodyPr/>
                  <a:lstStyle/>
                  <a:p>
                    <a:fld id="{76081987-90E7-4B7B-BD4A-D3CB9E8F2B7C}" type="CELLRANGE">
                      <a:rPr lang="en-IN"/>
                      <a:pPr/>
                      <a:t>[CELLRANGE]</a:t>
                    </a:fld>
                    <a:r>
                      <a:rPr lang="en-IN" baseline="0"/>
                      <a:t>, </a:t>
                    </a:r>
                    <a:fld id="{421C81E9-F5B0-4631-A6CD-E07A3711375D}" type="CATEGORYNAME">
                      <a:rPr lang="en-IN" baseline="0"/>
                      <a:pPr/>
                      <a:t>[CATEGORY NAME]</a:t>
                    </a:fld>
                    <a:r>
                      <a:rPr lang="en-IN" baseline="0"/>
                      <a:t>, </a:t>
                    </a:r>
                    <a:fld id="{ABE5C0DE-5363-4F87-B30F-3D244AF4568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3B3-45CC-9D1D-5AE54C5A159D}"/>
                </c:ext>
              </c:extLst>
            </c:dLbl>
            <c:dLbl>
              <c:idx val="4"/>
              <c:tx>
                <c:rich>
                  <a:bodyPr/>
                  <a:lstStyle/>
                  <a:p>
                    <a:fld id="{380A5D5F-032C-432B-8AD2-39487DB3B52A}" type="CELLRANGE">
                      <a:rPr lang="en-IN"/>
                      <a:pPr/>
                      <a:t>[CELLRANGE]</a:t>
                    </a:fld>
                    <a:r>
                      <a:rPr lang="en-IN" baseline="0"/>
                      <a:t>, </a:t>
                    </a:r>
                    <a:fld id="{99E515C8-CDF6-4193-9C91-83A08B12FBA4}" type="CATEGORYNAME">
                      <a:rPr lang="en-IN" baseline="0"/>
                      <a:pPr/>
                      <a:t>[CATEGORY NAME]</a:t>
                    </a:fld>
                    <a:r>
                      <a:rPr lang="en-IN" baseline="0"/>
                      <a:t>, </a:t>
                    </a:r>
                    <a:fld id="{9D74B7EA-8530-4F97-9D9E-AD5824BBAC9A}"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3B3-45CC-9D1D-5AE54C5A159D}"/>
                </c:ext>
              </c:extLst>
            </c:dLbl>
            <c:dLbl>
              <c:idx val="5"/>
              <c:tx>
                <c:rich>
                  <a:bodyPr/>
                  <a:lstStyle/>
                  <a:p>
                    <a:fld id="{48AF71DA-433B-4E39-BF66-71A79FBC0DCF}" type="CELLRANGE">
                      <a:rPr lang="en-IN"/>
                      <a:pPr/>
                      <a:t>[CELLRANGE]</a:t>
                    </a:fld>
                    <a:r>
                      <a:rPr lang="en-IN" baseline="0"/>
                      <a:t>, </a:t>
                    </a:r>
                    <a:fld id="{DDB367CE-97CA-41FE-BC62-D6C7B5A5866A}" type="CATEGORYNAME">
                      <a:rPr lang="en-IN" baseline="0"/>
                      <a:pPr/>
                      <a:t>[CATEGORY NAME]</a:t>
                    </a:fld>
                    <a:r>
                      <a:rPr lang="en-IN" baseline="0"/>
                      <a:t>, </a:t>
                    </a:r>
                    <a:fld id="{F3DC47A0-B029-4C43-B97D-F5667EFF4A87}"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3B3-45CC-9D1D-5AE54C5A159D}"/>
                </c:ext>
              </c:extLst>
            </c:dLbl>
            <c:dLbl>
              <c:idx val="6"/>
              <c:tx>
                <c:rich>
                  <a:bodyPr/>
                  <a:lstStyle/>
                  <a:p>
                    <a:fld id="{2164FC2A-DA53-4EF7-A6CE-1EE1A61088B9}" type="CELLRANGE">
                      <a:rPr lang="en-IN"/>
                      <a:pPr/>
                      <a:t>[CELLRANGE]</a:t>
                    </a:fld>
                    <a:r>
                      <a:rPr lang="en-IN" baseline="0"/>
                      <a:t>, </a:t>
                    </a:r>
                    <a:fld id="{6AF2A7FB-E1F0-4BE5-A7F8-F04A50E99275}" type="CATEGORYNAME">
                      <a:rPr lang="en-IN" baseline="0"/>
                      <a:pPr/>
                      <a:t>[CATEGORY NAME]</a:t>
                    </a:fld>
                    <a:r>
                      <a:rPr lang="en-IN" baseline="0"/>
                      <a:t>, </a:t>
                    </a:r>
                    <a:fld id="{FA946882-DDCE-4DA5-A362-C2DF21AF96A4}"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3B3-45CC-9D1D-5AE54C5A159D}"/>
                </c:ext>
              </c:extLst>
            </c:dLbl>
            <c:dLbl>
              <c:idx val="7"/>
              <c:tx>
                <c:rich>
                  <a:bodyPr/>
                  <a:lstStyle/>
                  <a:p>
                    <a:fld id="{236C20D2-92CE-4D23-A766-2551140B1767}" type="CELLRANGE">
                      <a:rPr lang="en-IN"/>
                      <a:pPr/>
                      <a:t>[CELLRANGE]</a:t>
                    </a:fld>
                    <a:r>
                      <a:rPr lang="en-IN" baseline="0"/>
                      <a:t>, </a:t>
                    </a:r>
                    <a:fld id="{2820FECC-CA0F-4D01-BBE2-969AE5228EDC}" type="CATEGORYNAME">
                      <a:rPr lang="en-IN" baseline="0"/>
                      <a:pPr/>
                      <a:t>[CATEGORY NAME]</a:t>
                    </a:fld>
                    <a:r>
                      <a:rPr lang="en-IN" baseline="0"/>
                      <a:t>, </a:t>
                    </a:r>
                    <a:fld id="{13FA26D3-26C3-4F27-950C-EE81E4A19D15}"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3B3-45CC-9D1D-5AE54C5A159D}"/>
                </c:ext>
              </c:extLst>
            </c:dLbl>
            <c:dLbl>
              <c:idx val="8"/>
              <c:tx>
                <c:rich>
                  <a:bodyPr/>
                  <a:lstStyle/>
                  <a:p>
                    <a:fld id="{FCBFC649-5247-4E82-A261-9A3D36441CDF}" type="CELLRANGE">
                      <a:rPr lang="en-IN"/>
                      <a:pPr/>
                      <a:t>[CELLRANGE]</a:t>
                    </a:fld>
                    <a:r>
                      <a:rPr lang="en-IN" baseline="0"/>
                      <a:t>, </a:t>
                    </a:r>
                    <a:fld id="{36ECA208-BAF3-41FE-8A12-EA4168A9EC20}" type="CATEGORYNAME">
                      <a:rPr lang="en-IN" baseline="0"/>
                      <a:pPr/>
                      <a:t>[CATEGORY NAME]</a:t>
                    </a:fld>
                    <a:r>
                      <a:rPr lang="en-IN" baseline="0"/>
                      <a:t>, </a:t>
                    </a:r>
                    <a:fld id="{1CF12211-F329-4CB1-8ED5-CDCEE99A2186}"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3B3-45CC-9D1D-5AE54C5A159D}"/>
                </c:ext>
              </c:extLst>
            </c:dLbl>
            <c:dLbl>
              <c:idx val="9"/>
              <c:tx>
                <c:rich>
                  <a:bodyPr/>
                  <a:lstStyle/>
                  <a:p>
                    <a:fld id="{798F94D7-3A61-4D72-A23A-79949F05CF3B}" type="CELLRANGE">
                      <a:rPr lang="en-IN"/>
                      <a:pPr/>
                      <a:t>[CELLRANGE]</a:t>
                    </a:fld>
                    <a:r>
                      <a:rPr lang="en-IN" baseline="0"/>
                      <a:t>, </a:t>
                    </a:r>
                    <a:fld id="{059EE8C4-D730-414E-85E7-81A0097A47F8}" type="CATEGORYNAME">
                      <a:rPr lang="en-IN" baseline="0"/>
                      <a:pPr/>
                      <a:t>[CATEGORY NAME]</a:t>
                    </a:fld>
                    <a:r>
                      <a:rPr lang="en-IN" baseline="0"/>
                      <a:t>, </a:t>
                    </a:r>
                    <a:fld id="{2421D542-311B-4D1D-B549-394F5D664468}"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3B3-45CC-9D1D-5AE54C5A159D}"/>
                </c:ext>
              </c:extLst>
            </c:dLbl>
            <c:dLbl>
              <c:idx val="10"/>
              <c:tx>
                <c:rich>
                  <a:bodyPr/>
                  <a:lstStyle/>
                  <a:p>
                    <a:fld id="{68D48BCB-F9B7-4B84-9528-D2DA4D98993B}" type="CELLRANGE">
                      <a:rPr lang="en-IN"/>
                      <a:pPr/>
                      <a:t>[CELLRANGE]</a:t>
                    </a:fld>
                    <a:r>
                      <a:rPr lang="en-IN" baseline="0"/>
                      <a:t>, </a:t>
                    </a:r>
                    <a:fld id="{159CA1F1-67D1-415D-B838-5620A16F562F}" type="CATEGORYNAME">
                      <a:rPr lang="en-IN" baseline="0"/>
                      <a:pPr/>
                      <a:t>[CATEGORY NAME]</a:t>
                    </a:fld>
                    <a:r>
                      <a:rPr lang="en-IN" baseline="0"/>
                      <a:t>, </a:t>
                    </a:r>
                    <a:fld id="{DB3859D5-5D17-477D-9D8A-5E817C41D298}"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FC8F-4849-820B-040F4F58C4F0}"/>
                </c:ext>
              </c:extLst>
            </c:dLbl>
            <c:dLbl>
              <c:idx val="11"/>
              <c:tx>
                <c:rich>
                  <a:bodyPr/>
                  <a:lstStyle/>
                  <a:p>
                    <a:fld id="{73D15186-4A5B-454F-8B17-C01E652D8C64}" type="CELLRANGE">
                      <a:rPr lang="en-IN"/>
                      <a:pPr/>
                      <a:t>[CELLRANGE]</a:t>
                    </a:fld>
                    <a:r>
                      <a:rPr lang="en-IN" baseline="0"/>
                      <a:t>, </a:t>
                    </a:r>
                    <a:fld id="{9A70088F-7828-4D86-BC8F-DA84CE8F7AA2}" type="CATEGORYNAME">
                      <a:rPr lang="en-IN" baseline="0"/>
                      <a:pPr/>
                      <a:t>[CATEGORY NAME]</a:t>
                    </a:fld>
                    <a:r>
                      <a:rPr lang="en-IN" baseline="0"/>
                      <a:t>, </a:t>
                    </a:r>
                    <a:fld id="{A89C2EEB-9DCB-4436-A3B6-8AE9B259F658}"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CC5B-4033-9748-11BB9DAD5123}"/>
                </c:ext>
              </c:extLst>
            </c:dLbl>
            <c:dLbl>
              <c:idx val="12"/>
              <c:tx>
                <c:rich>
                  <a:bodyPr/>
                  <a:lstStyle/>
                  <a:p>
                    <a:fld id="{3C17FA8E-4E09-4FF8-8656-FEAA8F855514}" type="CELLRANGE">
                      <a:rPr lang="en-IN"/>
                      <a:pPr/>
                      <a:t>[CELLRANGE]</a:t>
                    </a:fld>
                    <a:r>
                      <a:rPr lang="en-IN" baseline="0"/>
                      <a:t>, </a:t>
                    </a:r>
                    <a:fld id="{6BA5EB18-C96E-4A8F-803C-C6B3BB854FDE}" type="CATEGORYNAME">
                      <a:rPr lang="en-IN" baseline="0"/>
                      <a:pPr/>
                      <a:t>[CATEGORY NAME]</a:t>
                    </a:fld>
                    <a:r>
                      <a:rPr lang="en-IN" baseline="0"/>
                      <a:t>, </a:t>
                    </a:r>
                    <a:fld id="{746274CB-110A-4FDA-8B7E-3BE90A3B336B}"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C5B-4033-9748-11BB9DAD5123}"/>
                </c:ext>
              </c:extLst>
            </c:dLbl>
            <c:dLbl>
              <c:idx val="13"/>
              <c:tx>
                <c:rich>
                  <a:bodyPr/>
                  <a:lstStyle/>
                  <a:p>
                    <a:fld id="{C3421CB6-1250-43FE-87BA-2EEC1845E97D}" type="CELLRANGE">
                      <a:rPr lang="en-IN"/>
                      <a:pPr/>
                      <a:t>[CELLRANGE]</a:t>
                    </a:fld>
                    <a:r>
                      <a:rPr lang="en-IN" baseline="0"/>
                      <a:t>, </a:t>
                    </a:r>
                    <a:fld id="{A66B6AB8-9435-4494-9C9E-F86D528DB982}" type="CATEGORYNAME">
                      <a:rPr lang="en-IN" baseline="0"/>
                      <a:pPr/>
                      <a:t>[CATEGORY NAME]</a:t>
                    </a:fld>
                    <a:r>
                      <a:rPr lang="en-IN" baseline="0"/>
                      <a:t>, </a:t>
                    </a:r>
                    <a:fld id="{760C44BD-7F0C-40A1-AD05-3F4DD66E1787}"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C5B-4033-9748-11BB9DAD5123}"/>
                </c:ext>
              </c:extLst>
            </c:dLbl>
            <c:dLbl>
              <c:idx val="14"/>
              <c:tx>
                <c:rich>
                  <a:bodyPr/>
                  <a:lstStyle/>
                  <a:p>
                    <a:fld id="{64A1E5BF-51BC-4E09-96D9-2D8556C5F07D}" type="CELLRANGE">
                      <a:rPr lang="en-IN"/>
                      <a:pPr/>
                      <a:t>[CELLRANGE]</a:t>
                    </a:fld>
                    <a:r>
                      <a:rPr lang="en-IN" baseline="0"/>
                      <a:t>, </a:t>
                    </a:r>
                    <a:fld id="{5DB51AF7-420E-41E9-B0A4-D54264A0B744}" type="CATEGORYNAME">
                      <a:rPr lang="en-IN" baseline="0"/>
                      <a:pPr/>
                      <a:t>[CATEGORY NAME]</a:t>
                    </a:fld>
                    <a:r>
                      <a:rPr lang="en-IN" baseline="0"/>
                      <a:t>, </a:t>
                    </a:r>
                    <a:fld id="{660EDFFD-0AE3-4F7A-8CA2-4780D74504AB}"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C5B-4033-9748-11BB9DAD5123}"/>
                </c:ext>
              </c:extLst>
            </c:dLbl>
            <c:dLbl>
              <c:idx val="15"/>
              <c:tx>
                <c:rich>
                  <a:bodyPr/>
                  <a:lstStyle/>
                  <a:p>
                    <a:fld id="{77C232E7-CDD4-4E92-A0B4-5062333745C1}" type="CELLRANGE">
                      <a:rPr lang="en-IN"/>
                      <a:pPr/>
                      <a:t>[CELLRANGE]</a:t>
                    </a:fld>
                    <a:r>
                      <a:rPr lang="en-IN" baseline="0"/>
                      <a:t>, </a:t>
                    </a:r>
                    <a:fld id="{DD3A3C2E-C477-4D17-A00C-EACAF44105C3}" type="CATEGORYNAME">
                      <a:rPr lang="en-IN" baseline="0"/>
                      <a:pPr/>
                      <a:t>[CATEGORY NAME]</a:t>
                    </a:fld>
                    <a:r>
                      <a:rPr lang="en-IN" baseline="0"/>
                      <a:t>, </a:t>
                    </a:r>
                    <a:fld id="{0463C589-FEF9-4C68-BEA7-7F7EEF1EBD9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C5B-4033-9748-11BB9DAD5123}"/>
                </c:ext>
              </c:extLst>
            </c:dLbl>
            <c:dLbl>
              <c:idx val="16"/>
              <c:tx>
                <c:rich>
                  <a:bodyPr/>
                  <a:lstStyle/>
                  <a:p>
                    <a:fld id="{40BE295A-0281-43BD-AA92-8B58CF82B3D0}" type="CELLRANGE">
                      <a:rPr lang="en-IN"/>
                      <a:pPr/>
                      <a:t>[CELLRANGE]</a:t>
                    </a:fld>
                    <a:r>
                      <a:rPr lang="en-IN" baseline="0"/>
                      <a:t>, </a:t>
                    </a:r>
                    <a:fld id="{9796AD2C-82B9-4CC0-B612-A3D7C722CBE8}" type="CATEGORYNAME">
                      <a:rPr lang="en-IN" baseline="0"/>
                      <a:pPr/>
                      <a:t>[CATEGORY NAME]</a:t>
                    </a:fld>
                    <a:r>
                      <a:rPr lang="en-IN" baseline="0"/>
                      <a:t>, </a:t>
                    </a:r>
                    <a:fld id="{305D1B74-FD40-4D94-A45F-621F9060DAFE}"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C5B-4033-9748-11BB9DAD5123}"/>
                </c:ext>
              </c:extLst>
            </c:dLbl>
            <c:dLbl>
              <c:idx val="17"/>
              <c:tx>
                <c:rich>
                  <a:bodyPr/>
                  <a:lstStyle/>
                  <a:p>
                    <a:fld id="{4AE41FE1-F966-4A67-BC23-2041CDBA4B4E}" type="CELLRANGE">
                      <a:rPr lang="en-IN"/>
                      <a:pPr/>
                      <a:t>[CELLRANGE]</a:t>
                    </a:fld>
                    <a:r>
                      <a:rPr lang="en-IN" baseline="0"/>
                      <a:t>, </a:t>
                    </a:r>
                    <a:fld id="{3B08138F-F06E-48E9-A20C-6D64E99596E2}" type="CATEGORYNAME">
                      <a:rPr lang="en-IN" baseline="0"/>
                      <a:pPr/>
                      <a:t>[CATEGORY NAME]</a:t>
                    </a:fld>
                    <a:r>
                      <a:rPr lang="en-IN" baseline="0"/>
                      <a:t>, </a:t>
                    </a:r>
                    <a:fld id="{5F8D87A8-2BC6-4CAF-8EA5-726549376861}"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CC5B-4033-9748-11BB9DAD5123}"/>
                </c:ext>
              </c:extLst>
            </c:dLbl>
            <c:dLbl>
              <c:idx val="18"/>
              <c:tx>
                <c:rich>
                  <a:bodyPr/>
                  <a:lstStyle/>
                  <a:p>
                    <a:fld id="{05B20745-2C5C-413A-B9EA-00F0A58DBB6F}" type="CELLRANGE">
                      <a:rPr lang="en-IN"/>
                      <a:pPr/>
                      <a:t>[CELLRANGE]</a:t>
                    </a:fld>
                    <a:r>
                      <a:rPr lang="en-IN" baseline="0"/>
                      <a:t>, </a:t>
                    </a:r>
                    <a:fld id="{A2E19063-03F8-4691-8C9D-86305522E47B}" type="CATEGORYNAME">
                      <a:rPr lang="en-IN" baseline="0"/>
                      <a:pPr/>
                      <a:t>[CATEGORY NAME]</a:t>
                    </a:fld>
                    <a:r>
                      <a:rPr lang="en-IN" baseline="0"/>
                      <a:t>, </a:t>
                    </a:r>
                    <a:fld id="{EFEB7C03-333D-4CDA-9932-7DAA73C74AE8}"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C5B-4033-9748-11BB9DAD5123}"/>
                </c:ext>
              </c:extLst>
            </c:dLbl>
            <c:dLbl>
              <c:idx val="19"/>
              <c:tx>
                <c:rich>
                  <a:bodyPr/>
                  <a:lstStyle/>
                  <a:p>
                    <a:fld id="{D9FBDD98-125D-407F-A41F-820D7B12D709}" type="CELLRANGE">
                      <a:rPr lang="en-IN"/>
                      <a:pPr/>
                      <a:t>[CELLRANGE]</a:t>
                    </a:fld>
                    <a:r>
                      <a:rPr lang="en-IN" baseline="0"/>
                      <a:t>, </a:t>
                    </a:r>
                    <a:fld id="{05ABBA84-9E69-4FC0-879B-C406E9ED37B3}" type="CATEGORYNAME">
                      <a:rPr lang="en-IN" baseline="0"/>
                      <a:pPr/>
                      <a:t>[CATEGORY NAME]</a:t>
                    </a:fld>
                    <a:r>
                      <a:rPr lang="en-IN" baseline="0"/>
                      <a:t>, </a:t>
                    </a:r>
                    <a:fld id="{6F820743-DA78-4B2B-B08B-87F0005A4E6E}"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C5B-4033-9748-11BB9DAD5123}"/>
                </c:ext>
              </c:extLst>
            </c:dLbl>
            <c:dLbl>
              <c:idx val="20"/>
              <c:tx>
                <c:rich>
                  <a:bodyPr/>
                  <a:lstStyle/>
                  <a:p>
                    <a:fld id="{E3F82211-95C4-4EC8-8B8D-67D1D24C6DC7}" type="CELLRANGE">
                      <a:rPr lang="en-IN"/>
                      <a:pPr/>
                      <a:t>[CELLRANGE]</a:t>
                    </a:fld>
                    <a:r>
                      <a:rPr lang="en-IN" baseline="0"/>
                      <a:t>, </a:t>
                    </a:r>
                    <a:fld id="{82D4DF20-8530-470D-94E5-95CCB23D5525}" type="CATEGORYNAME">
                      <a:rPr lang="en-IN" baseline="0"/>
                      <a:pPr/>
                      <a:t>[CATEGORY NAME]</a:t>
                    </a:fld>
                    <a:r>
                      <a:rPr lang="en-IN" baseline="0"/>
                      <a:t>, </a:t>
                    </a:r>
                    <a:fld id="{0D2FB82C-0DA3-412D-904B-C3207EF74883}"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C5B-4033-9748-11BB9DAD5123}"/>
                </c:ext>
              </c:extLst>
            </c:dLbl>
            <c:dLbl>
              <c:idx val="21"/>
              <c:tx>
                <c:rich>
                  <a:bodyPr/>
                  <a:lstStyle/>
                  <a:p>
                    <a:fld id="{9229D52C-9422-4676-AA75-9569391D91D9}" type="CELLRANGE">
                      <a:rPr lang="en-IN"/>
                      <a:pPr/>
                      <a:t>[CELLRANGE]</a:t>
                    </a:fld>
                    <a:r>
                      <a:rPr lang="en-IN" baseline="0"/>
                      <a:t>, </a:t>
                    </a:r>
                    <a:fld id="{27D556E0-5E4E-424E-A0A7-BBD922ED962C}" type="CATEGORYNAME">
                      <a:rPr lang="en-IN" baseline="0"/>
                      <a:pPr/>
                      <a:t>[CATEGORY NAME]</a:t>
                    </a:fld>
                    <a:r>
                      <a:rPr lang="en-IN" baseline="0"/>
                      <a:t>, </a:t>
                    </a:r>
                    <a:fld id="{3225FC69-D367-4353-8B17-4591E9907B7F}"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C5B-4033-9748-11BB9DAD5123}"/>
                </c:ext>
              </c:extLst>
            </c:dLbl>
            <c:dLbl>
              <c:idx val="22"/>
              <c:tx>
                <c:rich>
                  <a:bodyPr/>
                  <a:lstStyle/>
                  <a:p>
                    <a:fld id="{ED779635-F837-4A40-A2BD-0DCA1C4A0611}" type="CELLRANGE">
                      <a:rPr lang="en-IN"/>
                      <a:pPr/>
                      <a:t>[CELLRANGE]</a:t>
                    </a:fld>
                    <a:r>
                      <a:rPr lang="en-IN" baseline="0"/>
                      <a:t>, </a:t>
                    </a:r>
                    <a:fld id="{7935D0D3-D0E3-424F-ADE1-B1F8334E3B40}" type="CATEGORYNAME">
                      <a:rPr lang="en-IN" baseline="0"/>
                      <a:pPr/>
                      <a:t>[CATEGORY NAME]</a:t>
                    </a:fld>
                    <a:r>
                      <a:rPr lang="en-IN" baseline="0"/>
                      <a:t>, </a:t>
                    </a:r>
                    <a:fld id="{B5FF2BED-054E-4339-9594-6AE438C009B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C5B-4033-9748-11BB9DAD5123}"/>
                </c:ext>
              </c:extLst>
            </c:dLbl>
            <c:dLbl>
              <c:idx val="23"/>
              <c:tx>
                <c:rich>
                  <a:bodyPr/>
                  <a:lstStyle/>
                  <a:p>
                    <a:fld id="{6929389C-84D9-4FC1-9C0B-228668ADEF63}" type="CELLRANGE">
                      <a:rPr lang="en-IN"/>
                      <a:pPr/>
                      <a:t>[CELLRANGE]</a:t>
                    </a:fld>
                    <a:r>
                      <a:rPr lang="en-IN" baseline="0"/>
                      <a:t>, </a:t>
                    </a:r>
                    <a:fld id="{54607F39-6FB8-4FC6-BBAF-A435D97B47AB}" type="CATEGORYNAME">
                      <a:rPr lang="en-IN" baseline="0"/>
                      <a:pPr/>
                      <a:t>[CATEGORY NAME]</a:t>
                    </a:fld>
                    <a:r>
                      <a:rPr lang="en-IN" baseline="0"/>
                      <a:t>, </a:t>
                    </a:r>
                    <a:fld id="{F64F7A06-EFCB-4CB6-98BE-FB94AEEDB673}"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CC5B-4033-9748-11BB9DAD5123}"/>
                </c:ext>
              </c:extLst>
            </c:dLbl>
            <c:dLbl>
              <c:idx val="24"/>
              <c:tx>
                <c:rich>
                  <a:bodyPr/>
                  <a:lstStyle/>
                  <a:p>
                    <a:fld id="{D7F3755D-553B-49C8-86BF-C31B048AFB4A}" type="CELLRANGE">
                      <a:rPr lang="en-IN"/>
                      <a:pPr/>
                      <a:t>[CELLRANGE]</a:t>
                    </a:fld>
                    <a:r>
                      <a:rPr lang="en-IN" baseline="0"/>
                      <a:t>, </a:t>
                    </a:r>
                    <a:fld id="{9464058C-09CD-4730-B58C-AD4753F19814}" type="CATEGORYNAME">
                      <a:rPr lang="en-IN" baseline="0"/>
                      <a:pPr/>
                      <a:t>[CATEGORY NAME]</a:t>
                    </a:fld>
                    <a:r>
                      <a:rPr lang="en-IN" baseline="0"/>
                      <a:t>, </a:t>
                    </a:r>
                    <a:fld id="{507A26BB-631B-4039-917F-F62DB6DA8551}"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CC5B-4033-9748-11BB9DAD5123}"/>
                </c:ext>
              </c:extLst>
            </c:dLbl>
            <c:dLbl>
              <c:idx val="25"/>
              <c:tx>
                <c:rich>
                  <a:bodyPr/>
                  <a:lstStyle/>
                  <a:p>
                    <a:fld id="{F6F9C59E-C854-40BF-AF3A-AA75F4615DDB}" type="CELLRANGE">
                      <a:rPr lang="en-IN"/>
                      <a:pPr/>
                      <a:t>[CELLRANGE]</a:t>
                    </a:fld>
                    <a:r>
                      <a:rPr lang="en-IN" baseline="0"/>
                      <a:t>, </a:t>
                    </a:r>
                    <a:fld id="{5B94D819-55E9-4389-A319-1B04D393AD24}" type="CATEGORYNAME">
                      <a:rPr lang="en-IN" baseline="0"/>
                      <a:pPr/>
                      <a:t>[CATEGORY NAME]</a:t>
                    </a:fld>
                    <a:r>
                      <a:rPr lang="en-IN" baseline="0"/>
                      <a:t>, </a:t>
                    </a:r>
                    <a:fld id="{3C798968-2583-4F4A-B315-3E851689C76B}"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CC5B-4033-9748-11BB9DAD5123}"/>
                </c:ext>
              </c:extLst>
            </c:dLbl>
            <c:dLbl>
              <c:idx val="26"/>
              <c:tx>
                <c:rich>
                  <a:bodyPr/>
                  <a:lstStyle/>
                  <a:p>
                    <a:fld id="{70819457-EE11-4821-968E-02C03FDB775B}" type="CELLRANGE">
                      <a:rPr lang="en-IN"/>
                      <a:pPr/>
                      <a:t>[CELLRANGE]</a:t>
                    </a:fld>
                    <a:r>
                      <a:rPr lang="en-IN" baseline="0"/>
                      <a:t>, </a:t>
                    </a:r>
                    <a:fld id="{18A2FC47-CED2-4813-9ED3-3DC1DD39F951}" type="CATEGORYNAME">
                      <a:rPr lang="en-IN" baseline="0"/>
                      <a:pPr/>
                      <a:t>[CATEGORY NAME]</a:t>
                    </a:fld>
                    <a:r>
                      <a:rPr lang="en-IN" baseline="0"/>
                      <a:t>, </a:t>
                    </a:r>
                    <a:fld id="{88B1B903-5463-4E17-84AF-9BDD270FB8B5}"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CC5B-4033-9748-11BB9DAD5123}"/>
                </c:ext>
              </c:extLst>
            </c:dLbl>
            <c:dLbl>
              <c:idx val="27"/>
              <c:tx>
                <c:rich>
                  <a:bodyPr/>
                  <a:lstStyle/>
                  <a:p>
                    <a:fld id="{09E07ACC-1303-486A-80E0-A2E10888169A}" type="CELLRANGE">
                      <a:rPr lang="en-IN"/>
                      <a:pPr/>
                      <a:t>[CELLRANGE]</a:t>
                    </a:fld>
                    <a:r>
                      <a:rPr lang="en-IN" baseline="0"/>
                      <a:t>, </a:t>
                    </a:r>
                    <a:fld id="{F2B67CB3-5014-43ED-AB71-D4B097933ABE}" type="CATEGORYNAME">
                      <a:rPr lang="en-IN" baseline="0"/>
                      <a:pPr/>
                      <a:t>[CATEGORY NAME]</a:t>
                    </a:fld>
                    <a:r>
                      <a:rPr lang="en-IN" baseline="0"/>
                      <a:t>, </a:t>
                    </a:r>
                    <a:fld id="{5ECFA887-71F5-4C25-844E-30D7071F447C}"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CC5B-4033-9748-11BB9DAD5123}"/>
                </c:ext>
              </c:extLst>
            </c:dLbl>
            <c:dLbl>
              <c:idx val="28"/>
              <c:tx>
                <c:rich>
                  <a:bodyPr/>
                  <a:lstStyle/>
                  <a:p>
                    <a:fld id="{D0914CA6-A2B1-494F-BEBB-428B2EC422CF}" type="CELLRANGE">
                      <a:rPr lang="en-IN"/>
                      <a:pPr/>
                      <a:t>[CELLRANGE]</a:t>
                    </a:fld>
                    <a:r>
                      <a:rPr lang="en-IN" baseline="0"/>
                      <a:t>, </a:t>
                    </a:r>
                    <a:fld id="{9C81A74E-2861-43C7-A8B4-FDAC26B3761C}" type="CATEGORYNAME">
                      <a:rPr lang="en-IN" baseline="0"/>
                      <a:pPr/>
                      <a:t>[CATEGORY NAME]</a:t>
                    </a:fld>
                    <a:r>
                      <a:rPr lang="en-IN" baseline="0"/>
                      <a:t>, </a:t>
                    </a:r>
                    <a:fld id="{28E603B0-E3F6-4273-B682-9EAD316BE816}"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CC5B-4033-9748-11BB9DAD5123}"/>
                </c:ext>
              </c:extLst>
            </c:dLbl>
            <c:dLbl>
              <c:idx val="29"/>
              <c:tx>
                <c:rich>
                  <a:bodyPr/>
                  <a:lstStyle/>
                  <a:p>
                    <a:fld id="{30E479A4-B9C5-477E-8D27-4723B384E657}" type="CELLRANGE">
                      <a:rPr lang="en-IN"/>
                      <a:pPr/>
                      <a:t>[CELLRANGE]</a:t>
                    </a:fld>
                    <a:r>
                      <a:rPr lang="en-IN" baseline="0"/>
                      <a:t>, </a:t>
                    </a:r>
                    <a:fld id="{1C18CDC2-B733-42AE-BACD-15E21BAC3DEB}" type="CATEGORYNAME">
                      <a:rPr lang="en-IN" baseline="0"/>
                      <a:pPr/>
                      <a:t>[CATEGORY NAME]</a:t>
                    </a:fld>
                    <a:r>
                      <a:rPr lang="en-IN" baseline="0"/>
                      <a:t>, </a:t>
                    </a:r>
                    <a:fld id="{26C2F919-49B5-42B6-A0CB-AD874340EF08}"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CC5B-4033-9748-11BB9DAD5123}"/>
                </c:ext>
              </c:extLst>
            </c:dLbl>
            <c:dLbl>
              <c:idx val="30"/>
              <c:tx>
                <c:rich>
                  <a:bodyPr/>
                  <a:lstStyle/>
                  <a:p>
                    <a:fld id="{D643B5B6-D873-4F1E-A2AE-F17B11438DAD}" type="CELLRANGE">
                      <a:rPr lang="en-IN"/>
                      <a:pPr/>
                      <a:t>[CELLRANGE]</a:t>
                    </a:fld>
                    <a:r>
                      <a:rPr lang="en-IN" baseline="0"/>
                      <a:t>, </a:t>
                    </a:r>
                    <a:fld id="{2BF391F7-1EA5-43CB-B55B-2B20D67C910E}" type="CATEGORYNAME">
                      <a:rPr lang="en-IN" baseline="0"/>
                      <a:pPr/>
                      <a:t>[CATEGORY NAME]</a:t>
                    </a:fld>
                    <a:r>
                      <a:rPr lang="en-IN" baseline="0"/>
                      <a:t>, </a:t>
                    </a:r>
                    <a:fld id="{261D7C33-82C4-4F53-A21B-540B0EB237E8}"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CC5B-4033-9748-11BB9DAD5123}"/>
                </c:ext>
              </c:extLst>
            </c:dLbl>
            <c:dLbl>
              <c:idx val="31"/>
              <c:tx>
                <c:rich>
                  <a:bodyPr/>
                  <a:lstStyle/>
                  <a:p>
                    <a:fld id="{E7F3DD02-E303-44FB-AEBC-CD900E772BD6}" type="CELLRANGE">
                      <a:rPr lang="en-IN"/>
                      <a:pPr/>
                      <a:t>[CELLRANGE]</a:t>
                    </a:fld>
                    <a:r>
                      <a:rPr lang="en-IN" baseline="0"/>
                      <a:t>, </a:t>
                    </a:r>
                    <a:fld id="{C443EFB1-75F5-4C8B-8A2F-B3DEDCA7ABD7}" type="CATEGORYNAME">
                      <a:rPr lang="en-IN" baseline="0"/>
                      <a:pPr/>
                      <a:t>[CATEGORY NAME]</a:t>
                    </a:fld>
                    <a:r>
                      <a:rPr lang="en-IN" baseline="0"/>
                      <a:t>, </a:t>
                    </a:r>
                    <a:fld id="{D00F289D-B274-454E-8C5A-D1431AE78E78}"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CC5B-4033-9748-11BB9DAD5123}"/>
                </c:ext>
              </c:extLst>
            </c:dLbl>
            <c:dLbl>
              <c:idx val="32"/>
              <c:tx>
                <c:rich>
                  <a:bodyPr/>
                  <a:lstStyle/>
                  <a:p>
                    <a:fld id="{74ED03C7-9745-4A11-8382-2FE6679CF243}" type="CELLRANGE">
                      <a:rPr lang="en-IN"/>
                      <a:pPr/>
                      <a:t>[CELLRANGE]</a:t>
                    </a:fld>
                    <a:r>
                      <a:rPr lang="en-IN" baseline="0"/>
                      <a:t>, </a:t>
                    </a:r>
                    <a:fld id="{FE48F4BD-999B-4CB0-8884-279B55AFB866}" type="CATEGORYNAME">
                      <a:rPr lang="en-IN" baseline="0"/>
                      <a:pPr/>
                      <a:t>[CATEGORY NAME]</a:t>
                    </a:fld>
                    <a:r>
                      <a:rPr lang="en-IN" baseline="0"/>
                      <a:t>, </a:t>
                    </a:r>
                    <a:fld id="{2D22B04B-9982-4B87-AF9D-3F7C1008610A}"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CC5B-4033-9748-11BB9DAD5123}"/>
                </c:ext>
              </c:extLst>
            </c:dLbl>
            <c:dLbl>
              <c:idx val="33"/>
              <c:tx>
                <c:rich>
                  <a:bodyPr/>
                  <a:lstStyle/>
                  <a:p>
                    <a:fld id="{1E4DF4D7-ED5B-4284-9769-45F8EC191C26}" type="CELLRANGE">
                      <a:rPr lang="en-IN"/>
                      <a:pPr/>
                      <a:t>[CELLRANGE]</a:t>
                    </a:fld>
                    <a:r>
                      <a:rPr lang="en-IN" baseline="0"/>
                      <a:t>, </a:t>
                    </a:r>
                    <a:fld id="{9EE83A86-48A1-48C7-A79C-8E7A8AA7AD48}" type="CATEGORYNAME">
                      <a:rPr lang="en-IN" baseline="0"/>
                      <a:pPr/>
                      <a:t>[CATEGORY NAME]</a:t>
                    </a:fld>
                    <a:r>
                      <a:rPr lang="en-IN" baseline="0"/>
                      <a:t>, </a:t>
                    </a:r>
                    <a:fld id="{75BC7391-59AC-482B-BA6D-57539D6306AA}"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CC5B-4033-9748-11BB9DAD5123}"/>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val>
            <c:numRef>
              <c:f>'Dynamic Data-RE'!$G$106:$G$139</c:f>
              <c:numCache>
                <c:formatCode>0.0000</c:formatCode>
                <c:ptCount val="34"/>
                <c:pt idx="0">
                  <c:v>-5.3639999999999998E-3</c:v>
                </c:pt>
                <c:pt idx="1">
                  <c:v>0.231183</c:v>
                </c:pt>
                <c:pt idx="2">
                  <c:v>2.7965E-2</c:v>
                </c:pt>
                <c:pt idx="3">
                  <c:v>-0.11777700000000001</c:v>
                </c:pt>
                <c:pt idx="4">
                  <c:v>-0.11769399999999999</c:v>
                </c:pt>
                <c:pt idx="5">
                  <c:v>0.93914600000000004</c:v>
                </c:pt>
                <c:pt idx="6" formatCode="General">
                  <c:v>0</c:v>
                </c:pt>
                <c:pt idx="7" formatCode="General">
                  <c:v>0</c:v>
                </c:pt>
                <c:pt idx="8" formatCode="General">
                  <c:v>0</c:v>
                </c:pt>
                <c:pt idx="9">
                  <c:v>-0.12723400000000001</c:v>
                </c:pt>
                <c:pt idx="10">
                  <c:v>0.62215500000000001</c:v>
                </c:pt>
                <c:pt idx="11">
                  <c:v>-1.9000000000000001E-4</c:v>
                </c:pt>
                <c:pt idx="12">
                  <c:v>0.22800799999999999</c:v>
                </c:pt>
                <c:pt idx="13">
                  <c:v>0.43525700000000001</c:v>
                </c:pt>
                <c:pt idx="14">
                  <c:v>6.3299999999999999E-4</c:v>
                </c:pt>
                <c:pt idx="15">
                  <c:v>0.154728</c:v>
                </c:pt>
                <c:pt idx="16">
                  <c:v>0.95755299999999999</c:v>
                </c:pt>
                <c:pt idx="17" formatCode="General">
                  <c:v>0</c:v>
                </c:pt>
                <c:pt idx="18" formatCode="General">
                  <c:v>0</c:v>
                </c:pt>
                <c:pt idx="19" formatCode="General">
                  <c:v>0</c:v>
                </c:pt>
                <c:pt idx="20">
                  <c:v>1.0250000000000001E-3</c:v>
                </c:pt>
                <c:pt idx="21">
                  <c:v>-7.6952999999999994E-2</c:v>
                </c:pt>
                <c:pt idx="22">
                  <c:v>0.29060000000000002</c:v>
                </c:pt>
                <c:pt idx="23">
                  <c:v>1.011947907407293</c:v>
                </c:pt>
                <c:pt idx="24">
                  <c:v>-2.1493000000000002E-2</c:v>
                </c:pt>
                <c:pt idx="25">
                  <c:v>0.215033</c:v>
                </c:pt>
                <c:pt idx="26">
                  <c:v>-9.7073000000000007E-2</c:v>
                </c:pt>
                <c:pt idx="27">
                  <c:v>-0.34123300000000001</c:v>
                </c:pt>
                <c:pt idx="28">
                  <c:v>-0.34115499999999999</c:v>
                </c:pt>
                <c:pt idx="29">
                  <c:v>0.82677800000000001</c:v>
                </c:pt>
                <c:pt idx="30" formatCode="General">
                  <c:v>0</c:v>
                </c:pt>
                <c:pt idx="31" formatCode="General">
                  <c:v>0</c:v>
                </c:pt>
                <c:pt idx="32" formatCode="General">
                  <c:v>0</c:v>
                </c:pt>
                <c:pt idx="33">
                  <c:v>-0.50697700000000001</c:v>
                </c:pt>
              </c:numCache>
            </c:numRef>
          </c:val>
          <c:extLst>
            <c:ext xmlns:c15="http://schemas.microsoft.com/office/drawing/2012/chart" uri="{02D57815-91ED-43cb-92C2-25804820EDAC}">
              <c15:datalabelsRange>
                <c15:f>'Dynamic Data-RE'!$C$106:$C$139</c15:f>
                <c15:dlblRangeCache>
                  <c:ptCount val="34"/>
                  <c:pt idx="0">
                    <c:v>V=110%</c:v>
                  </c:pt>
                  <c:pt idx="1">
                    <c:v>V=110%</c:v>
                  </c:pt>
                  <c:pt idx="2">
                    <c:v>V=110%</c:v>
                  </c:pt>
                  <c:pt idx="3">
                    <c:v>V=110%</c:v>
                  </c:pt>
                  <c:pt idx="4">
                    <c:v>V=110%</c:v>
                  </c:pt>
                  <c:pt idx="5">
                    <c:v>V=110%</c:v>
                  </c:pt>
                  <c:pt idx="6">
                    <c:v>V=110%</c:v>
                  </c:pt>
                  <c:pt idx="7">
                    <c:v>V=110%</c:v>
                  </c:pt>
                  <c:pt idx="8">
                    <c:v>V=110%</c:v>
                  </c:pt>
                  <c:pt idx="9">
                    <c:v>V=110%</c:v>
                  </c:pt>
                  <c:pt idx="10">
                    <c:v>V=110%</c:v>
                  </c:pt>
                  <c:pt idx="11">
                    <c:v>V=120%</c:v>
                  </c:pt>
                  <c:pt idx="12">
                    <c:v>V=120%</c:v>
                  </c:pt>
                  <c:pt idx="13">
                    <c:v>V=120%</c:v>
                  </c:pt>
                  <c:pt idx="14">
                    <c:v>V=120%</c:v>
                  </c:pt>
                  <c:pt idx="15">
                    <c:v>V=120%</c:v>
                  </c:pt>
                  <c:pt idx="16">
                    <c:v>V=120%</c:v>
                  </c:pt>
                  <c:pt idx="17">
                    <c:v>V=120%</c:v>
                  </c:pt>
                  <c:pt idx="18">
                    <c:v>V=120%</c:v>
                  </c:pt>
                  <c:pt idx="19">
                    <c:v>V=120%</c:v>
                  </c:pt>
                  <c:pt idx="20">
                    <c:v>V=120%</c:v>
                  </c:pt>
                  <c:pt idx="21">
                    <c:v>V=120%</c:v>
                  </c:pt>
                  <c:pt idx="22">
                    <c:v>V=120%</c:v>
                  </c:pt>
                  <c:pt idx="23">
                    <c:v>V=120%</c:v>
                  </c:pt>
                  <c:pt idx="24">
                    <c:v>V=130%</c:v>
                  </c:pt>
                  <c:pt idx="25">
                    <c:v>V=130%</c:v>
                  </c:pt>
                  <c:pt idx="26">
                    <c:v>V=130%</c:v>
                  </c:pt>
                  <c:pt idx="27">
                    <c:v>V=130%</c:v>
                  </c:pt>
                  <c:pt idx="28">
                    <c:v>V=130%</c:v>
                  </c:pt>
                  <c:pt idx="29">
                    <c:v>V=130%</c:v>
                  </c:pt>
                  <c:pt idx="30">
                    <c:v>V=130%</c:v>
                  </c:pt>
                  <c:pt idx="31">
                    <c:v>V=130%</c:v>
                  </c:pt>
                  <c:pt idx="32">
                    <c:v>V=130%</c:v>
                  </c:pt>
                  <c:pt idx="33">
                    <c:v>V=130%</c:v>
                  </c:pt>
                </c15:dlblRangeCache>
              </c15:datalabelsRange>
            </c:ext>
            <c:ext xmlns:c16="http://schemas.microsoft.com/office/drawing/2014/chart" uri="{C3380CC4-5D6E-409C-BE32-E72D297353CC}">
              <c16:uniqueId val="{00000000-9F6F-4C82-8F44-51B9DC37B334}"/>
            </c:ext>
          </c:extLst>
        </c:ser>
        <c:ser>
          <c:idx val="1"/>
          <c:order val="1"/>
          <c:tx>
            <c:v>Del_Iq_PSCAD</c:v>
          </c:tx>
          <c:spPr>
            <a:ln w="31750" cap="rnd">
              <a:solidFill>
                <a:schemeClr val="accent2"/>
              </a:solidFill>
              <a:round/>
            </a:ln>
            <a:effectLst/>
          </c:spPr>
          <c:marker>
            <c:symbol val="none"/>
          </c:marker>
          <c:val>
            <c:numRef>
              <c:f>'Dynamic Data-RE'!$H$106:$H$139</c:f>
              <c:numCache>
                <c:formatCode>General</c:formatCode>
                <c:ptCount val="34"/>
                <c:pt idx="0">
                  <c:v>1.8E-3</c:v>
                </c:pt>
                <c:pt idx="1">
                  <c:v>3.0000000000000001E-3</c:v>
                </c:pt>
                <c:pt idx="2">
                  <c:v>0.26700000000000002</c:v>
                </c:pt>
                <c:pt idx="3">
                  <c:v>5.2400000000000002E-2</c:v>
                </c:pt>
                <c:pt idx="4">
                  <c:v>5.6600000000000004E-2</c:v>
                </c:pt>
                <c:pt idx="5">
                  <c:v>6.88E-2</c:v>
                </c:pt>
                <c:pt idx="6">
                  <c:v>0</c:v>
                </c:pt>
                <c:pt idx="7">
                  <c:v>0</c:v>
                </c:pt>
                <c:pt idx="8">
                  <c:v>0</c:v>
                </c:pt>
                <c:pt idx="9">
                  <c:v>0.84830000000000005</c:v>
                </c:pt>
                <c:pt idx="10">
                  <c:v>1.6483000000000001</c:v>
                </c:pt>
                <c:pt idx="11">
                  <c:v>6.9999999999999999E-4</c:v>
                </c:pt>
                <c:pt idx="12">
                  <c:v>3.4000000000000002E-3</c:v>
                </c:pt>
                <c:pt idx="13">
                  <c:v>0.24</c:v>
                </c:pt>
                <c:pt idx="14">
                  <c:v>2.7300000000000001E-2</c:v>
                </c:pt>
                <c:pt idx="15">
                  <c:v>3.4300000000000004E-2</c:v>
                </c:pt>
                <c:pt idx="16">
                  <c:v>0.85399999999999998</c:v>
                </c:pt>
                <c:pt idx="17">
                  <c:v>0</c:v>
                </c:pt>
                <c:pt idx="18">
                  <c:v>0</c:v>
                </c:pt>
                <c:pt idx="19">
                  <c:v>0</c:v>
                </c:pt>
                <c:pt idx="20">
                  <c:v>1.0449999999999999</c:v>
                </c:pt>
                <c:pt idx="21">
                  <c:v>1.85</c:v>
                </c:pt>
                <c:pt idx="22">
                  <c:v>-0.42</c:v>
                </c:pt>
                <c:pt idx="23">
                  <c:v>0.72</c:v>
                </c:pt>
                <c:pt idx="24">
                  <c:v>3.6799999999999999E-2</c:v>
                </c:pt>
                <c:pt idx="25">
                  <c:v>3.78E-2</c:v>
                </c:pt>
                <c:pt idx="26">
                  <c:v>0.249</c:v>
                </c:pt>
                <c:pt idx="27">
                  <c:v>-8.5819999999999994E-2</c:v>
                </c:pt>
                <c:pt idx="28">
                  <c:v>-8.1199999999999994E-2</c:v>
                </c:pt>
                <c:pt idx="29">
                  <c:v>0.87080000000000002</c:v>
                </c:pt>
                <c:pt idx="30">
                  <c:v>0</c:v>
                </c:pt>
                <c:pt idx="31">
                  <c:v>0</c:v>
                </c:pt>
                <c:pt idx="32">
                  <c:v>0</c:v>
                </c:pt>
                <c:pt idx="33">
                  <c:v>1.0475000000000001</c:v>
                </c:pt>
              </c:numCache>
            </c:numRef>
          </c:val>
          <c:extLst>
            <c:ext xmlns:c16="http://schemas.microsoft.com/office/drawing/2014/chart" uri="{C3380CC4-5D6E-409C-BE32-E72D297353CC}">
              <c16:uniqueId val="{00000001-9F6F-4C82-8F44-51B9DC37B334}"/>
            </c:ext>
          </c:extLst>
        </c:ser>
        <c:ser>
          <c:idx val="2"/>
          <c:order val="2"/>
          <c:tx>
            <c:v>Iq_Upper_lim</c:v>
          </c:tx>
          <c:spPr>
            <a:ln w="31750" cap="rnd">
              <a:solidFill>
                <a:schemeClr val="accent3"/>
              </a:solidFill>
              <a:round/>
            </a:ln>
            <a:effectLst/>
          </c:spPr>
          <c:marker>
            <c:symbol val="none"/>
          </c:marker>
          <c:val>
            <c:numRef>
              <c:f>'Dynamic Data-RE'!$J$106:$J$139</c:f>
              <c:numCache>
                <c:formatCode>General</c:formatCode>
                <c:ptCount val="34"/>
                <c:pt idx="0">
                  <c:v>0</c:v>
                </c:pt>
                <c:pt idx="1">
                  <c:v>1</c:v>
                </c:pt>
                <c:pt idx="2">
                  <c:v>1</c:v>
                </c:pt>
                <c:pt idx="3">
                  <c:v>0</c:v>
                </c:pt>
                <c:pt idx="4">
                  <c:v>1</c:v>
                </c:pt>
                <c:pt idx="5">
                  <c:v>1</c:v>
                </c:pt>
                <c:pt idx="6">
                  <c:v>0</c:v>
                </c:pt>
                <c:pt idx="7">
                  <c:v>1</c:v>
                </c:pt>
                <c:pt idx="8">
                  <c:v>1</c:v>
                </c:pt>
                <c:pt idx="9">
                  <c:v>0</c:v>
                </c:pt>
                <c:pt idx="10">
                  <c:v>1</c:v>
                </c:pt>
                <c:pt idx="11">
                  <c:v>0</c:v>
                </c:pt>
                <c:pt idx="12">
                  <c:v>1</c:v>
                </c:pt>
                <c:pt idx="13">
                  <c:v>1</c:v>
                </c:pt>
                <c:pt idx="14">
                  <c:v>0</c:v>
                </c:pt>
                <c:pt idx="15">
                  <c:v>1</c:v>
                </c:pt>
                <c:pt idx="16">
                  <c:v>1</c:v>
                </c:pt>
                <c:pt idx="17">
                  <c:v>0</c:v>
                </c:pt>
                <c:pt idx="18">
                  <c:v>1</c:v>
                </c:pt>
                <c:pt idx="19">
                  <c:v>1</c:v>
                </c:pt>
                <c:pt idx="20">
                  <c:v>0</c:v>
                </c:pt>
                <c:pt idx="21">
                  <c:v>1</c:v>
                </c:pt>
                <c:pt idx="22">
                  <c:v>1</c:v>
                </c:pt>
                <c:pt idx="23">
                  <c:v>1</c:v>
                </c:pt>
                <c:pt idx="24">
                  <c:v>0</c:v>
                </c:pt>
                <c:pt idx="25">
                  <c:v>1</c:v>
                </c:pt>
                <c:pt idx="26">
                  <c:v>1</c:v>
                </c:pt>
                <c:pt idx="27">
                  <c:v>0</c:v>
                </c:pt>
                <c:pt idx="28">
                  <c:v>1</c:v>
                </c:pt>
                <c:pt idx="29">
                  <c:v>1</c:v>
                </c:pt>
                <c:pt idx="30">
                  <c:v>0</c:v>
                </c:pt>
                <c:pt idx="31">
                  <c:v>1</c:v>
                </c:pt>
                <c:pt idx="32">
                  <c:v>1</c:v>
                </c:pt>
                <c:pt idx="33">
                  <c:v>0</c:v>
                </c:pt>
              </c:numCache>
            </c:numRef>
          </c:val>
          <c:extLst>
            <c:ext xmlns:c16="http://schemas.microsoft.com/office/drawing/2014/chart" uri="{C3380CC4-5D6E-409C-BE32-E72D297353CC}">
              <c16:uniqueId val="{00000000-23B3-45CC-9D1D-5AE54C5A159D}"/>
            </c:ext>
          </c:extLst>
        </c:ser>
        <c:ser>
          <c:idx val="3"/>
          <c:order val="3"/>
          <c:tx>
            <c:v>Iq_Lower_lim</c:v>
          </c:tx>
          <c:spPr>
            <a:ln w="31750" cap="rnd">
              <a:solidFill>
                <a:schemeClr val="accent4"/>
              </a:solidFill>
              <a:round/>
            </a:ln>
            <a:effectLst/>
          </c:spPr>
          <c:marker>
            <c:symbol val="none"/>
          </c:marker>
          <c:val>
            <c:numRef>
              <c:f>'Dynamic Data-RE'!$I$106:$I$139</c:f>
              <c:numCache>
                <c:formatCode>General</c:formatCode>
                <c:ptCount val="34"/>
                <c:pt idx="0">
                  <c:v>-1</c:v>
                </c:pt>
                <c:pt idx="1">
                  <c:v>-1</c:v>
                </c:pt>
                <c:pt idx="2">
                  <c:v>0</c:v>
                </c:pt>
                <c:pt idx="3">
                  <c:v>-1</c:v>
                </c:pt>
                <c:pt idx="4">
                  <c:v>-1</c:v>
                </c:pt>
                <c:pt idx="5">
                  <c:v>1E-3</c:v>
                </c:pt>
                <c:pt idx="6">
                  <c:v>-1</c:v>
                </c:pt>
                <c:pt idx="7">
                  <c:v>-1</c:v>
                </c:pt>
                <c:pt idx="8">
                  <c:v>1E-3</c:v>
                </c:pt>
                <c:pt idx="9">
                  <c:v>-1</c:v>
                </c:pt>
                <c:pt idx="10">
                  <c:v>-1</c:v>
                </c:pt>
                <c:pt idx="11">
                  <c:v>-1</c:v>
                </c:pt>
                <c:pt idx="12">
                  <c:v>-1</c:v>
                </c:pt>
                <c:pt idx="13">
                  <c:v>0</c:v>
                </c:pt>
                <c:pt idx="14">
                  <c:v>-1</c:v>
                </c:pt>
                <c:pt idx="15">
                  <c:v>-1</c:v>
                </c:pt>
                <c:pt idx="16">
                  <c:v>1E-3</c:v>
                </c:pt>
                <c:pt idx="17">
                  <c:v>-1</c:v>
                </c:pt>
                <c:pt idx="18">
                  <c:v>-1</c:v>
                </c:pt>
                <c:pt idx="19">
                  <c:v>1E-3</c:v>
                </c:pt>
                <c:pt idx="20">
                  <c:v>-1</c:v>
                </c:pt>
                <c:pt idx="21">
                  <c:v>-1</c:v>
                </c:pt>
                <c:pt idx="22">
                  <c:v>1E-3</c:v>
                </c:pt>
                <c:pt idx="23">
                  <c:v>1E-3</c:v>
                </c:pt>
                <c:pt idx="24">
                  <c:v>-1</c:v>
                </c:pt>
                <c:pt idx="25">
                  <c:v>-1</c:v>
                </c:pt>
                <c:pt idx="26">
                  <c:v>0</c:v>
                </c:pt>
                <c:pt idx="27">
                  <c:v>-1</c:v>
                </c:pt>
                <c:pt idx="28">
                  <c:v>-1</c:v>
                </c:pt>
                <c:pt idx="29">
                  <c:v>1E-3</c:v>
                </c:pt>
                <c:pt idx="30">
                  <c:v>-1</c:v>
                </c:pt>
                <c:pt idx="31">
                  <c:v>-1</c:v>
                </c:pt>
                <c:pt idx="32">
                  <c:v>1E-3</c:v>
                </c:pt>
                <c:pt idx="33">
                  <c:v>-1</c:v>
                </c:pt>
              </c:numCache>
            </c:numRef>
          </c:val>
          <c:extLst>
            <c:ext xmlns:c16="http://schemas.microsoft.com/office/drawing/2014/chart" uri="{C3380CC4-5D6E-409C-BE32-E72D297353CC}">
              <c16:uniqueId val="{00000001-23B3-45CC-9D1D-5AE54C5A159D}"/>
            </c:ext>
          </c:extLst>
        </c:ser>
        <c:dLbls>
          <c:showLegendKey val="0"/>
          <c:showVal val="0"/>
          <c:showCatName val="0"/>
          <c:showSerName val="0"/>
          <c:showPercent val="0"/>
          <c:showBubbleSize val="0"/>
        </c:dLbls>
        <c:axId val="793624704"/>
        <c:axId val="793641504"/>
      </c:radarChart>
      <c:catAx>
        <c:axId val="793624704"/>
        <c:scaling>
          <c:orientation val="minMax"/>
        </c:scaling>
        <c:delete val="0"/>
        <c:axPos val="b"/>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93641504"/>
        <c:crosses val="autoZero"/>
        <c:auto val="1"/>
        <c:lblAlgn val="ctr"/>
        <c:lblOffset val="100"/>
        <c:noMultiLvlLbl val="0"/>
      </c:catAx>
      <c:valAx>
        <c:axId val="793641504"/>
        <c:scaling>
          <c:orientation val="minMax"/>
        </c:scaling>
        <c:delete val="0"/>
        <c:axPos val="l"/>
        <c:majorGridlines>
          <c:spPr>
            <a:ln w="9525" cap="flat" cmpd="sng" algn="ctr">
              <a:solidFill>
                <a:schemeClr val="tx2">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936247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baseline="0">
                <a:solidFill>
                  <a:schemeClr val="tx2"/>
                </a:solidFill>
                <a:latin typeface="+mn-lt"/>
                <a:ea typeface="+mn-ea"/>
                <a:cs typeface="+mn-cs"/>
              </a:defRPr>
            </a:pPr>
            <a:r>
              <a:rPr lang="en-IN" sz="2400"/>
              <a:t>LVRT_Id_3PH</a:t>
            </a:r>
          </a:p>
          <a:p>
            <a:pPr>
              <a:defRPr sz="2400"/>
            </a:pPr>
            <a:r>
              <a:rPr lang="en-IN" sz="2400"/>
              <a:t>INV/WTG/PCS</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2"/>
              </a:solidFill>
              <a:latin typeface="+mn-lt"/>
              <a:ea typeface="+mn-ea"/>
              <a:cs typeface="+mn-cs"/>
            </a:defRPr>
          </a:pPr>
          <a:endParaRPr lang="en-US"/>
        </a:p>
      </c:txPr>
    </c:title>
    <c:autoTitleDeleted val="0"/>
    <c:plotArea>
      <c:layout/>
      <c:radarChart>
        <c:radarStyle val="marker"/>
        <c:varyColors val="0"/>
        <c:ser>
          <c:idx val="0"/>
          <c:order val="0"/>
          <c:tx>
            <c:v>Id_PSSE</c:v>
          </c:tx>
          <c:spPr>
            <a:ln w="31750" cap="rnd">
              <a:solidFill>
                <a:schemeClr val="accent1"/>
              </a:solidFill>
              <a:round/>
            </a:ln>
            <a:effectLst/>
          </c:spPr>
          <c:marker>
            <c:symbol val="none"/>
          </c:marker>
          <c:dLbls>
            <c:dLbl>
              <c:idx val="0"/>
              <c:tx>
                <c:rich>
                  <a:bodyPr/>
                  <a:lstStyle/>
                  <a:p>
                    <a:fld id="{946B4A58-4B54-4AC2-A08D-A641308BC6B1}" type="CELLRANGE">
                      <a:rPr lang="en-IN"/>
                      <a:pPr/>
                      <a:t>[CELLRANGE]</a:t>
                    </a:fld>
                    <a:r>
                      <a:rPr lang="en-IN" baseline="0"/>
                      <a:t>, </a:t>
                    </a:r>
                    <a:fld id="{7FEFF223-FD66-4F6C-81F6-389030DD310A}" type="CATEGORYNAME">
                      <a:rPr lang="en-IN" baseline="0"/>
                      <a:pPr/>
                      <a:t>[CATEGORY NAME]</a:t>
                    </a:fld>
                    <a:r>
                      <a:rPr lang="en-IN" baseline="0"/>
                      <a:t>, </a:t>
                    </a:r>
                    <a:fld id="{76E086C0-CC9F-44F1-BA04-C49FCA2AA025}"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E1A-4734-A161-4B5DF2C20DD9}"/>
                </c:ext>
              </c:extLst>
            </c:dLbl>
            <c:dLbl>
              <c:idx val="1"/>
              <c:tx>
                <c:rich>
                  <a:bodyPr/>
                  <a:lstStyle/>
                  <a:p>
                    <a:fld id="{56BC0168-F2CF-44DA-812F-BD611CA98C01}" type="CELLRANGE">
                      <a:rPr lang="en-IN"/>
                      <a:pPr/>
                      <a:t>[CELLRANGE]</a:t>
                    </a:fld>
                    <a:r>
                      <a:rPr lang="en-IN" baseline="0"/>
                      <a:t>, </a:t>
                    </a:r>
                    <a:fld id="{5E3A4CB8-AAC4-48BA-A2B2-734B6FDB3231}" type="CATEGORYNAME">
                      <a:rPr lang="en-IN" baseline="0"/>
                      <a:pPr/>
                      <a:t>[CATEGORY NAME]</a:t>
                    </a:fld>
                    <a:r>
                      <a:rPr lang="en-IN" baseline="0"/>
                      <a:t>, </a:t>
                    </a:r>
                    <a:fld id="{305E165B-9498-4D44-B71C-D9A0EAA64879}"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E1A-4734-A161-4B5DF2C20DD9}"/>
                </c:ext>
              </c:extLst>
            </c:dLbl>
            <c:dLbl>
              <c:idx val="2"/>
              <c:tx>
                <c:rich>
                  <a:bodyPr/>
                  <a:lstStyle/>
                  <a:p>
                    <a:fld id="{13B904E2-F128-4C91-87C4-F4B0349F775C}" type="CELLRANGE">
                      <a:rPr lang="en-IN"/>
                      <a:pPr/>
                      <a:t>[CELLRANGE]</a:t>
                    </a:fld>
                    <a:r>
                      <a:rPr lang="en-IN" baseline="0"/>
                      <a:t>, </a:t>
                    </a:r>
                    <a:fld id="{928BBE39-AE82-493F-A172-54CFA5A4A9E7}" type="CATEGORYNAME">
                      <a:rPr lang="en-IN" baseline="0"/>
                      <a:pPr/>
                      <a:t>[CATEGORY NAME]</a:t>
                    </a:fld>
                    <a:r>
                      <a:rPr lang="en-IN" baseline="0"/>
                      <a:t>, </a:t>
                    </a:r>
                    <a:fld id="{74C771FC-390B-4BCE-B7BC-3D5D612C1C1B}"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E1A-4734-A161-4B5DF2C20DD9}"/>
                </c:ext>
              </c:extLst>
            </c:dLbl>
            <c:dLbl>
              <c:idx val="3"/>
              <c:tx>
                <c:rich>
                  <a:bodyPr/>
                  <a:lstStyle/>
                  <a:p>
                    <a:fld id="{D8A1DEBE-99E4-46F6-869B-83DC1E21BAEA}" type="CELLRANGE">
                      <a:rPr lang="en-IN"/>
                      <a:pPr/>
                      <a:t>[CELLRANGE]</a:t>
                    </a:fld>
                    <a:r>
                      <a:rPr lang="en-IN" baseline="0"/>
                      <a:t>, </a:t>
                    </a:r>
                    <a:fld id="{A8005976-896A-479C-96B3-191D636EAEFA}" type="CATEGORYNAME">
                      <a:rPr lang="en-IN" baseline="0"/>
                      <a:pPr/>
                      <a:t>[CATEGORY NAME]</a:t>
                    </a:fld>
                    <a:r>
                      <a:rPr lang="en-IN" baseline="0"/>
                      <a:t>, </a:t>
                    </a:r>
                    <a:fld id="{56859D52-3568-4051-B1BE-6BD4F63582B1}"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E1A-4734-A161-4B5DF2C20DD9}"/>
                </c:ext>
              </c:extLst>
            </c:dLbl>
            <c:dLbl>
              <c:idx val="4"/>
              <c:tx>
                <c:rich>
                  <a:bodyPr/>
                  <a:lstStyle/>
                  <a:p>
                    <a:fld id="{015474BA-C7B5-4CDB-8D0E-5C58B14D07B5}" type="CELLRANGE">
                      <a:rPr lang="en-IN"/>
                      <a:pPr/>
                      <a:t>[CELLRANGE]</a:t>
                    </a:fld>
                    <a:r>
                      <a:rPr lang="en-IN" baseline="0"/>
                      <a:t>, </a:t>
                    </a:r>
                    <a:fld id="{AC3F6DC9-77AB-4D38-A034-3BE096DD0E11}" type="CATEGORYNAME">
                      <a:rPr lang="en-IN" baseline="0"/>
                      <a:pPr/>
                      <a:t>[CATEGORY NAME]</a:t>
                    </a:fld>
                    <a:r>
                      <a:rPr lang="en-IN" baseline="0"/>
                      <a:t>, </a:t>
                    </a:r>
                    <a:fld id="{8592CECB-40BF-4457-AA9D-0E8DD141BBC9}"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E1A-4734-A161-4B5DF2C20DD9}"/>
                </c:ext>
              </c:extLst>
            </c:dLbl>
            <c:dLbl>
              <c:idx val="5"/>
              <c:tx>
                <c:rich>
                  <a:bodyPr/>
                  <a:lstStyle/>
                  <a:p>
                    <a:fld id="{7D722914-0869-4D33-878F-946D650D9D6F}" type="CELLRANGE">
                      <a:rPr lang="en-IN"/>
                      <a:pPr/>
                      <a:t>[CELLRANGE]</a:t>
                    </a:fld>
                    <a:r>
                      <a:rPr lang="en-IN" baseline="0"/>
                      <a:t>, </a:t>
                    </a:r>
                    <a:fld id="{EDC7A24C-75D6-40A8-8AAB-A9E00089D485}" type="CATEGORYNAME">
                      <a:rPr lang="en-IN" baseline="0"/>
                      <a:pPr/>
                      <a:t>[CATEGORY NAME]</a:t>
                    </a:fld>
                    <a:r>
                      <a:rPr lang="en-IN" baseline="0"/>
                      <a:t>, </a:t>
                    </a:r>
                    <a:fld id="{75962F62-FE1B-45E9-91BB-9B62415F13C6}"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E1A-4734-A161-4B5DF2C20DD9}"/>
                </c:ext>
              </c:extLst>
            </c:dLbl>
            <c:dLbl>
              <c:idx val="6"/>
              <c:tx>
                <c:rich>
                  <a:bodyPr/>
                  <a:lstStyle/>
                  <a:p>
                    <a:fld id="{7CA2361E-583D-43BA-860B-C5E9489A0133}" type="CELLRANGE">
                      <a:rPr lang="en-IN"/>
                      <a:pPr/>
                      <a:t>[CELLRANGE]</a:t>
                    </a:fld>
                    <a:r>
                      <a:rPr lang="en-IN" baseline="0"/>
                      <a:t>, </a:t>
                    </a:r>
                    <a:fld id="{05938DB9-2E4D-4899-834A-5981D8E861FF}" type="CATEGORYNAME">
                      <a:rPr lang="en-IN" baseline="0"/>
                      <a:pPr/>
                      <a:t>[CATEGORY NAME]</a:t>
                    </a:fld>
                    <a:r>
                      <a:rPr lang="en-IN" baseline="0"/>
                      <a:t>, </a:t>
                    </a:r>
                    <a:fld id="{2F07B1FA-F8B4-4E5B-92D2-E53E1AA932F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E1A-4734-A161-4B5DF2C20DD9}"/>
                </c:ext>
              </c:extLst>
            </c:dLbl>
            <c:dLbl>
              <c:idx val="7"/>
              <c:tx>
                <c:rich>
                  <a:bodyPr/>
                  <a:lstStyle/>
                  <a:p>
                    <a:fld id="{023004CA-FE9C-478D-B168-13D9C3BCEC2F}" type="CELLRANGE">
                      <a:rPr lang="en-IN"/>
                      <a:pPr/>
                      <a:t>[CELLRANGE]</a:t>
                    </a:fld>
                    <a:r>
                      <a:rPr lang="en-IN" baseline="0"/>
                      <a:t>, </a:t>
                    </a:r>
                    <a:fld id="{B26A59FB-D3A9-4C02-B5D6-1E99113B3ADB}" type="CATEGORYNAME">
                      <a:rPr lang="en-IN" baseline="0"/>
                      <a:pPr/>
                      <a:t>[CATEGORY NAME]</a:t>
                    </a:fld>
                    <a:r>
                      <a:rPr lang="en-IN" baseline="0"/>
                      <a:t>, </a:t>
                    </a:r>
                    <a:fld id="{8943A936-F247-4792-8199-EA64C5103867}"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E1A-4734-A161-4B5DF2C20DD9}"/>
                </c:ext>
              </c:extLst>
            </c:dLbl>
            <c:dLbl>
              <c:idx val="8"/>
              <c:tx>
                <c:rich>
                  <a:bodyPr/>
                  <a:lstStyle/>
                  <a:p>
                    <a:fld id="{A18CD892-F2F4-4C23-8BF0-D6095E9AE603}" type="CELLRANGE">
                      <a:rPr lang="en-IN"/>
                      <a:pPr/>
                      <a:t>[CELLRANGE]</a:t>
                    </a:fld>
                    <a:r>
                      <a:rPr lang="en-IN" baseline="0"/>
                      <a:t>, </a:t>
                    </a:r>
                    <a:fld id="{03CF16D0-BF78-4DAE-92DC-04D444B4AC25}" type="CATEGORYNAME">
                      <a:rPr lang="en-IN" baseline="0"/>
                      <a:pPr/>
                      <a:t>[CATEGORY NAME]</a:t>
                    </a:fld>
                    <a:r>
                      <a:rPr lang="en-IN" baseline="0"/>
                      <a:t>, </a:t>
                    </a:r>
                    <a:fld id="{F146A2EF-45C5-4A0A-A27D-A308D6EF049A}"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E1A-4734-A161-4B5DF2C20DD9}"/>
                </c:ext>
              </c:extLst>
            </c:dLbl>
            <c:dLbl>
              <c:idx val="9"/>
              <c:tx>
                <c:rich>
                  <a:bodyPr/>
                  <a:lstStyle/>
                  <a:p>
                    <a:fld id="{1AEB2E28-892E-4B5C-82B8-C05FB93CC780}" type="CELLRANGE">
                      <a:rPr lang="en-IN"/>
                      <a:pPr/>
                      <a:t>[CELLRANGE]</a:t>
                    </a:fld>
                    <a:r>
                      <a:rPr lang="en-IN" baseline="0"/>
                      <a:t>, </a:t>
                    </a:r>
                    <a:fld id="{82A19A9A-1C74-47BA-9DC7-B80899DF38CF}" type="CATEGORYNAME">
                      <a:rPr lang="en-IN" baseline="0"/>
                      <a:pPr/>
                      <a:t>[CATEGORY NAME]</a:t>
                    </a:fld>
                    <a:r>
                      <a:rPr lang="en-IN" baseline="0"/>
                      <a:t>, </a:t>
                    </a:r>
                    <a:fld id="{2E220F38-BEF3-456C-AEEC-ADACBB227BEE}"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E1A-4734-A161-4B5DF2C20DD9}"/>
                </c:ext>
              </c:extLst>
            </c:dLbl>
            <c:dLbl>
              <c:idx val="10"/>
              <c:tx>
                <c:rich>
                  <a:bodyPr/>
                  <a:lstStyle/>
                  <a:p>
                    <a:fld id="{19076202-4BF1-443A-AD17-FCC06C31BE11}" type="CELLRANGE">
                      <a:rPr lang="en-IN"/>
                      <a:pPr/>
                      <a:t>[CELLRANGE]</a:t>
                    </a:fld>
                    <a:r>
                      <a:rPr lang="en-IN" baseline="0"/>
                      <a:t>, </a:t>
                    </a:r>
                    <a:fld id="{13F0FDB4-BD53-406E-9A18-FC2BCB42265B}" type="CATEGORYNAME">
                      <a:rPr lang="en-IN" baseline="0"/>
                      <a:pPr/>
                      <a:t>[CATEGORY NAME]</a:t>
                    </a:fld>
                    <a:r>
                      <a:rPr lang="en-IN" baseline="0"/>
                      <a:t>, </a:t>
                    </a:r>
                    <a:fld id="{5070E624-DB85-42B8-B366-1B8B50BD6D39}"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E1A-4734-A161-4B5DF2C20DD9}"/>
                </c:ext>
              </c:extLst>
            </c:dLbl>
            <c:dLbl>
              <c:idx val="11"/>
              <c:tx>
                <c:rich>
                  <a:bodyPr/>
                  <a:lstStyle/>
                  <a:p>
                    <a:fld id="{58AC60A4-0634-4533-A7CE-3922A4BB95D3}" type="CELLRANGE">
                      <a:rPr lang="en-IN"/>
                      <a:pPr/>
                      <a:t>[CELLRANGE]</a:t>
                    </a:fld>
                    <a:r>
                      <a:rPr lang="en-IN" baseline="0"/>
                      <a:t>, </a:t>
                    </a:r>
                    <a:fld id="{0ADB4624-DB5B-4F1A-BA97-837337EC7496}" type="CATEGORYNAME">
                      <a:rPr lang="en-IN" baseline="0"/>
                      <a:pPr/>
                      <a:t>[CATEGORY NAME]</a:t>
                    </a:fld>
                    <a:r>
                      <a:rPr lang="en-IN" baseline="0"/>
                      <a:t>, </a:t>
                    </a:r>
                    <a:fld id="{9D830490-0BDB-4786-AAFA-7E18F9723E3C}"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E1A-4734-A161-4B5DF2C20DD9}"/>
                </c:ext>
              </c:extLst>
            </c:dLbl>
            <c:dLbl>
              <c:idx val="12"/>
              <c:tx>
                <c:rich>
                  <a:bodyPr/>
                  <a:lstStyle/>
                  <a:p>
                    <a:fld id="{DC16CB1C-A9EE-44F3-851A-1ADB19CC1BA7}" type="CELLRANGE">
                      <a:rPr lang="en-IN"/>
                      <a:pPr/>
                      <a:t>[CELLRANGE]</a:t>
                    </a:fld>
                    <a:r>
                      <a:rPr lang="en-IN" baseline="0"/>
                      <a:t>, </a:t>
                    </a:r>
                    <a:fld id="{BEC371B2-F992-4028-8D0D-87DA75C7939A}" type="CATEGORYNAME">
                      <a:rPr lang="en-IN" baseline="0"/>
                      <a:pPr/>
                      <a:t>[CATEGORY NAME]</a:t>
                    </a:fld>
                    <a:r>
                      <a:rPr lang="en-IN" baseline="0"/>
                      <a:t>, </a:t>
                    </a:r>
                    <a:fld id="{579E5211-3027-4B57-8675-65A174E87C36}"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E1A-4734-A161-4B5DF2C20DD9}"/>
                </c:ext>
              </c:extLst>
            </c:dLbl>
            <c:dLbl>
              <c:idx val="13"/>
              <c:tx>
                <c:rich>
                  <a:bodyPr/>
                  <a:lstStyle/>
                  <a:p>
                    <a:fld id="{D04A9281-D26F-455E-8643-2F0FE9A8AA63}" type="CELLRANGE">
                      <a:rPr lang="en-IN"/>
                      <a:pPr/>
                      <a:t>[CELLRANGE]</a:t>
                    </a:fld>
                    <a:r>
                      <a:rPr lang="en-IN" baseline="0"/>
                      <a:t>, </a:t>
                    </a:r>
                    <a:fld id="{F6AE2715-CE4F-4217-ACAF-EA42E2079B9A}" type="CATEGORYNAME">
                      <a:rPr lang="en-IN" baseline="0"/>
                      <a:pPr/>
                      <a:t>[CATEGORY NAME]</a:t>
                    </a:fld>
                    <a:r>
                      <a:rPr lang="en-IN" baseline="0"/>
                      <a:t>, </a:t>
                    </a:r>
                    <a:fld id="{56FE3C80-7E03-4196-BE26-165E53D1E271}"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E1A-4734-A161-4B5DF2C20DD9}"/>
                </c:ext>
              </c:extLst>
            </c:dLbl>
            <c:dLbl>
              <c:idx val="14"/>
              <c:tx>
                <c:rich>
                  <a:bodyPr/>
                  <a:lstStyle/>
                  <a:p>
                    <a:fld id="{82EDDB80-2368-4810-8567-36BEE7512932}" type="CELLRANGE">
                      <a:rPr lang="en-IN"/>
                      <a:pPr/>
                      <a:t>[CELLRANGE]</a:t>
                    </a:fld>
                    <a:r>
                      <a:rPr lang="en-IN" baseline="0"/>
                      <a:t>, </a:t>
                    </a:r>
                    <a:fld id="{5578E85C-22AD-4ED9-A52E-43C1ED5B3074}" type="CATEGORYNAME">
                      <a:rPr lang="en-IN" baseline="0"/>
                      <a:pPr/>
                      <a:t>[CATEGORY NAME]</a:t>
                    </a:fld>
                    <a:r>
                      <a:rPr lang="en-IN" baseline="0"/>
                      <a:t>, </a:t>
                    </a:r>
                    <a:fld id="{440B3416-FD92-4E0D-AD01-012AC92BB94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9E1A-4734-A161-4B5DF2C20DD9}"/>
                </c:ext>
              </c:extLst>
            </c:dLbl>
            <c:dLbl>
              <c:idx val="15"/>
              <c:tx>
                <c:rich>
                  <a:bodyPr/>
                  <a:lstStyle/>
                  <a:p>
                    <a:fld id="{8F39223F-DD13-428F-B02F-69ACF948CCE4}" type="CELLRANGE">
                      <a:rPr lang="en-IN"/>
                      <a:pPr/>
                      <a:t>[CELLRANGE]</a:t>
                    </a:fld>
                    <a:r>
                      <a:rPr lang="en-IN" baseline="0"/>
                      <a:t>, </a:t>
                    </a:r>
                    <a:fld id="{3E2EA076-4C40-45EF-B497-4A8169EEA473}" type="CATEGORYNAME">
                      <a:rPr lang="en-IN" baseline="0"/>
                      <a:pPr/>
                      <a:t>[CATEGORY NAME]</a:t>
                    </a:fld>
                    <a:r>
                      <a:rPr lang="en-IN" baseline="0"/>
                      <a:t>, </a:t>
                    </a:r>
                    <a:fld id="{7C7A44BB-AB6D-42B3-BFE2-76573A9993C5}"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9E1A-4734-A161-4B5DF2C20DD9}"/>
                </c:ext>
              </c:extLst>
            </c:dLbl>
            <c:dLbl>
              <c:idx val="16"/>
              <c:tx>
                <c:rich>
                  <a:bodyPr/>
                  <a:lstStyle/>
                  <a:p>
                    <a:fld id="{A6064AE6-AFD0-45F3-98B5-0742783F7731}" type="CELLRANGE">
                      <a:rPr lang="en-IN"/>
                      <a:pPr/>
                      <a:t>[CELLRANGE]</a:t>
                    </a:fld>
                    <a:r>
                      <a:rPr lang="en-IN" baseline="0"/>
                      <a:t>, </a:t>
                    </a:r>
                    <a:fld id="{E62B320A-0A3C-4B54-A7F4-8883AAC1F46B}" type="CATEGORYNAME">
                      <a:rPr lang="en-IN" baseline="0"/>
                      <a:pPr/>
                      <a:t>[CATEGORY NAME]</a:t>
                    </a:fld>
                    <a:r>
                      <a:rPr lang="en-IN" baseline="0"/>
                      <a:t>, </a:t>
                    </a:r>
                    <a:fld id="{33BEAD7E-B6F3-4EAB-98C6-A39597652091}"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9E1A-4734-A161-4B5DF2C20DD9}"/>
                </c:ext>
              </c:extLst>
            </c:dLbl>
            <c:dLbl>
              <c:idx val="17"/>
              <c:tx>
                <c:rich>
                  <a:bodyPr/>
                  <a:lstStyle/>
                  <a:p>
                    <a:fld id="{4A33B709-1D49-4E9E-ABEF-DB769D7568F9}" type="CELLRANGE">
                      <a:rPr lang="en-IN"/>
                      <a:pPr/>
                      <a:t>[CELLRANGE]</a:t>
                    </a:fld>
                    <a:r>
                      <a:rPr lang="en-IN" baseline="0"/>
                      <a:t>, </a:t>
                    </a:r>
                    <a:fld id="{850A40B0-D139-42D5-8110-B7FA9312EC2C}" type="CATEGORYNAME">
                      <a:rPr lang="en-IN" baseline="0"/>
                      <a:pPr/>
                      <a:t>[CATEGORY NAME]</a:t>
                    </a:fld>
                    <a:r>
                      <a:rPr lang="en-IN" baseline="0"/>
                      <a:t>, </a:t>
                    </a:r>
                    <a:fld id="{166EAD0F-FC0D-4A1F-BCBB-B37AF0DA8CEE}"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9E1A-4734-A161-4B5DF2C20DD9}"/>
                </c:ext>
              </c:extLst>
            </c:dLbl>
            <c:dLbl>
              <c:idx val="18"/>
              <c:tx>
                <c:rich>
                  <a:bodyPr/>
                  <a:lstStyle/>
                  <a:p>
                    <a:fld id="{27BE8D13-51DC-4EAB-AC58-8DF6A8AE5721}" type="CELLRANGE">
                      <a:rPr lang="en-IN"/>
                      <a:pPr/>
                      <a:t>[CELLRANGE]</a:t>
                    </a:fld>
                    <a:r>
                      <a:rPr lang="en-IN" baseline="0"/>
                      <a:t>, </a:t>
                    </a:r>
                    <a:fld id="{DCFD3583-15C6-48F6-AAFC-65326A56715F}" type="CATEGORYNAME">
                      <a:rPr lang="en-IN" baseline="0"/>
                      <a:pPr/>
                      <a:t>[CATEGORY NAME]</a:t>
                    </a:fld>
                    <a:r>
                      <a:rPr lang="en-IN" baseline="0"/>
                      <a:t>, </a:t>
                    </a:r>
                    <a:fld id="{3CB852C7-9C9C-48BA-8F6A-05A70561F0F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9E1A-4734-A161-4B5DF2C20DD9}"/>
                </c:ext>
              </c:extLst>
            </c:dLbl>
            <c:dLbl>
              <c:idx val="19"/>
              <c:tx>
                <c:rich>
                  <a:bodyPr/>
                  <a:lstStyle/>
                  <a:p>
                    <a:fld id="{0D0970DA-A5A7-4C0A-8A92-C227C220AE33}" type="CELLRANGE">
                      <a:rPr lang="en-IN"/>
                      <a:pPr/>
                      <a:t>[CELLRANGE]</a:t>
                    </a:fld>
                    <a:r>
                      <a:rPr lang="en-IN" baseline="0"/>
                      <a:t>, </a:t>
                    </a:r>
                    <a:fld id="{0EDF6D52-01D4-4BE9-B487-157B5E9672B3}" type="CATEGORYNAME">
                      <a:rPr lang="en-IN" baseline="0"/>
                      <a:pPr/>
                      <a:t>[CATEGORY NAME]</a:t>
                    </a:fld>
                    <a:r>
                      <a:rPr lang="en-IN" baseline="0"/>
                      <a:t>, </a:t>
                    </a:r>
                    <a:fld id="{D009FE7C-DD2D-4602-ABD3-92A29D7676AC}"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9E1A-4734-A161-4B5DF2C20DD9}"/>
                </c:ext>
              </c:extLst>
            </c:dLbl>
            <c:dLbl>
              <c:idx val="20"/>
              <c:tx>
                <c:rich>
                  <a:bodyPr/>
                  <a:lstStyle/>
                  <a:p>
                    <a:fld id="{9852A4C6-7867-4443-A0B9-899C59F82E2A}" type="CELLRANGE">
                      <a:rPr lang="en-IN"/>
                      <a:pPr/>
                      <a:t>[CELLRANGE]</a:t>
                    </a:fld>
                    <a:r>
                      <a:rPr lang="en-IN" baseline="0"/>
                      <a:t>, </a:t>
                    </a:r>
                    <a:fld id="{2385524E-7E42-4BDE-B9CA-4A71CA44AE78}" type="CATEGORYNAME">
                      <a:rPr lang="en-IN" baseline="0"/>
                      <a:pPr/>
                      <a:t>[CATEGORY NAME]</a:t>
                    </a:fld>
                    <a:r>
                      <a:rPr lang="en-IN" baseline="0"/>
                      <a:t>, </a:t>
                    </a:r>
                    <a:fld id="{5A0CD7D3-48D5-4D09-8736-5896724B2743}"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FEA-475F-BB9F-763D1D72C6B1}"/>
                </c:ext>
              </c:extLst>
            </c:dLbl>
            <c:dLbl>
              <c:idx val="21"/>
              <c:tx>
                <c:rich>
                  <a:bodyPr/>
                  <a:lstStyle/>
                  <a:p>
                    <a:fld id="{4F72F5E3-D341-45DF-B739-C342C1FCDACC}" type="CELLRANGE">
                      <a:rPr lang="en-IN"/>
                      <a:pPr/>
                      <a:t>[CELLRANGE]</a:t>
                    </a:fld>
                    <a:r>
                      <a:rPr lang="en-IN" baseline="0"/>
                      <a:t>, </a:t>
                    </a:r>
                    <a:fld id="{400D7698-3D1C-4BAC-BFC4-B38022AB0308}" type="CATEGORYNAME">
                      <a:rPr lang="en-IN" baseline="0"/>
                      <a:pPr/>
                      <a:t>[CATEGORY NAME]</a:t>
                    </a:fld>
                    <a:r>
                      <a:rPr lang="en-IN" baseline="0"/>
                      <a:t>, </a:t>
                    </a:r>
                    <a:fld id="{F0C11092-4072-4F66-83AA-927880189F05}"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FEA-475F-BB9F-763D1D72C6B1}"/>
                </c:ext>
              </c:extLst>
            </c:dLbl>
            <c:dLbl>
              <c:idx val="22"/>
              <c:tx>
                <c:rich>
                  <a:bodyPr/>
                  <a:lstStyle/>
                  <a:p>
                    <a:fld id="{D403374D-ED1E-4C74-AD96-BD2AA5A91C32}" type="CELLRANGE">
                      <a:rPr lang="en-IN"/>
                      <a:pPr/>
                      <a:t>[CELLRANGE]</a:t>
                    </a:fld>
                    <a:r>
                      <a:rPr lang="en-IN" baseline="0"/>
                      <a:t>, </a:t>
                    </a:r>
                    <a:fld id="{76B690EF-EA50-4726-91EC-A4FC6D83518B}" type="CATEGORYNAME">
                      <a:rPr lang="en-IN" baseline="0"/>
                      <a:pPr/>
                      <a:t>[CATEGORY NAME]</a:t>
                    </a:fld>
                    <a:r>
                      <a:rPr lang="en-IN" baseline="0"/>
                      <a:t>, </a:t>
                    </a:r>
                    <a:fld id="{045E4C87-5DEA-4728-8DC9-7E4935E5D1AE}"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AB5-4C11-84F1-7E1260F58F7D}"/>
                </c:ext>
              </c:extLst>
            </c:dLbl>
            <c:dLbl>
              <c:idx val="23"/>
              <c:tx>
                <c:rich>
                  <a:bodyPr/>
                  <a:lstStyle/>
                  <a:p>
                    <a:fld id="{E93EDEA1-6A55-4831-B093-9C5063601184}" type="CELLRANGE">
                      <a:rPr lang="en-IN"/>
                      <a:pPr/>
                      <a:t>[CELLRANGE]</a:t>
                    </a:fld>
                    <a:r>
                      <a:rPr lang="en-IN" baseline="0"/>
                      <a:t>, </a:t>
                    </a:r>
                    <a:fld id="{8469A2D5-CDA3-4A09-86B7-4F81DB222263}" type="CATEGORYNAME">
                      <a:rPr lang="en-IN" baseline="0"/>
                      <a:pPr/>
                      <a:t>[CATEGORY NAME]</a:t>
                    </a:fld>
                    <a:r>
                      <a:rPr lang="en-IN" baseline="0"/>
                      <a:t>, </a:t>
                    </a:r>
                    <a:fld id="{0BA2EAA9-EBAB-45AF-B8F8-E901E092EAC8}"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AB5-4C11-84F1-7E1260F58F7D}"/>
                </c:ext>
              </c:extLst>
            </c:dLbl>
            <c:dLbl>
              <c:idx val="24"/>
              <c:tx>
                <c:rich>
                  <a:bodyPr/>
                  <a:lstStyle/>
                  <a:p>
                    <a:fld id="{F163D302-4BD6-49BB-AAF4-899FBD71B84C}" type="CELLRANGE">
                      <a:rPr lang="en-IN"/>
                      <a:pPr/>
                      <a:t>[CELLRANGE]</a:t>
                    </a:fld>
                    <a:r>
                      <a:rPr lang="en-IN" baseline="0"/>
                      <a:t>, </a:t>
                    </a:r>
                    <a:fld id="{8E1290CA-E64C-4E18-8B39-F535329ADBA9}" type="CATEGORYNAME">
                      <a:rPr lang="en-IN" baseline="0"/>
                      <a:pPr/>
                      <a:t>[CATEGORY NAME]</a:t>
                    </a:fld>
                    <a:r>
                      <a:rPr lang="en-IN" baseline="0"/>
                      <a:t>, </a:t>
                    </a:r>
                    <a:fld id="{E2058EAC-5907-450C-A568-D8B118B1ED57}"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AB5-4C11-84F1-7E1260F58F7D}"/>
                </c:ext>
              </c:extLst>
            </c:dLbl>
            <c:dLbl>
              <c:idx val="25"/>
              <c:tx>
                <c:rich>
                  <a:bodyPr/>
                  <a:lstStyle/>
                  <a:p>
                    <a:fld id="{B49CAFE1-37B3-4489-A2AF-B4E6F61850E6}" type="CELLRANGE">
                      <a:rPr lang="en-IN"/>
                      <a:pPr/>
                      <a:t>[CELLRANGE]</a:t>
                    </a:fld>
                    <a:r>
                      <a:rPr lang="en-IN" baseline="0"/>
                      <a:t>, </a:t>
                    </a:r>
                    <a:fld id="{49493DCE-1B04-422A-8564-359C0CA9472F}" type="CATEGORYNAME">
                      <a:rPr lang="en-IN" baseline="0"/>
                      <a:pPr/>
                      <a:t>[CATEGORY NAME]</a:t>
                    </a:fld>
                    <a:r>
                      <a:rPr lang="en-IN" baseline="0"/>
                      <a:t>, </a:t>
                    </a:r>
                    <a:fld id="{8CAFA46E-4A51-4988-8140-DE0EABFA203A}"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AB5-4C11-84F1-7E1260F58F7D}"/>
                </c:ext>
              </c:extLst>
            </c:dLbl>
            <c:dLbl>
              <c:idx val="26"/>
              <c:tx>
                <c:rich>
                  <a:bodyPr/>
                  <a:lstStyle/>
                  <a:p>
                    <a:fld id="{A8508582-5B24-42D5-A0A7-486B448E0756}" type="CELLRANGE">
                      <a:rPr lang="en-IN"/>
                      <a:pPr/>
                      <a:t>[CELLRANGE]</a:t>
                    </a:fld>
                    <a:r>
                      <a:rPr lang="en-IN" baseline="0"/>
                      <a:t>, </a:t>
                    </a:r>
                    <a:fld id="{9FA7740E-A993-4158-81DD-9512E294A0BB}" type="CATEGORYNAME">
                      <a:rPr lang="en-IN" baseline="0"/>
                      <a:pPr/>
                      <a:t>[CATEGORY NAME]</a:t>
                    </a:fld>
                    <a:r>
                      <a:rPr lang="en-IN" baseline="0"/>
                      <a:t>, </a:t>
                    </a:r>
                    <a:fld id="{EA9B9F3A-290E-4634-82E0-47D2A6EE48ED}"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AB5-4C11-84F1-7E1260F58F7D}"/>
                </c:ext>
              </c:extLst>
            </c:dLbl>
            <c:dLbl>
              <c:idx val="27"/>
              <c:tx>
                <c:rich>
                  <a:bodyPr/>
                  <a:lstStyle/>
                  <a:p>
                    <a:fld id="{659AE012-ADBB-4426-ABFB-8D7CBDBFD413}" type="CELLRANGE">
                      <a:rPr lang="en-IN"/>
                      <a:pPr/>
                      <a:t>[CELLRANGE]</a:t>
                    </a:fld>
                    <a:r>
                      <a:rPr lang="en-IN" baseline="0"/>
                      <a:t>, </a:t>
                    </a:r>
                    <a:fld id="{203629D7-4AD5-4D56-8EF0-204309F8FC2D}" type="CATEGORYNAME">
                      <a:rPr lang="en-IN" baseline="0"/>
                      <a:pPr/>
                      <a:t>[CATEGORY NAME]</a:t>
                    </a:fld>
                    <a:r>
                      <a:rPr lang="en-IN" baseline="0"/>
                      <a:t>, </a:t>
                    </a:r>
                    <a:fld id="{27B83303-4879-4901-8799-BDD2BBB74E6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AB5-4C11-84F1-7E1260F58F7D}"/>
                </c:ext>
              </c:extLst>
            </c:dLbl>
            <c:dLbl>
              <c:idx val="28"/>
              <c:tx>
                <c:rich>
                  <a:bodyPr/>
                  <a:lstStyle/>
                  <a:p>
                    <a:fld id="{D3F2C93B-D29F-42BA-82D4-71882A07B06D}" type="CELLRANGE">
                      <a:rPr lang="en-IN"/>
                      <a:pPr/>
                      <a:t>[CELLRANGE]</a:t>
                    </a:fld>
                    <a:r>
                      <a:rPr lang="en-IN" baseline="0"/>
                      <a:t>, </a:t>
                    </a:r>
                    <a:fld id="{3317D5E5-7FDC-438C-B44B-4CE706A74A1B}" type="CATEGORYNAME">
                      <a:rPr lang="en-IN" baseline="0"/>
                      <a:pPr/>
                      <a:t>[CATEGORY NAME]</a:t>
                    </a:fld>
                    <a:r>
                      <a:rPr lang="en-IN" baseline="0"/>
                      <a:t>, </a:t>
                    </a:r>
                    <a:fld id="{42B4A276-458A-48AF-913B-65C89BEF1EF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AB5-4C11-84F1-7E1260F58F7D}"/>
                </c:ext>
              </c:extLst>
            </c:dLbl>
            <c:dLbl>
              <c:idx val="29"/>
              <c:tx>
                <c:rich>
                  <a:bodyPr/>
                  <a:lstStyle/>
                  <a:p>
                    <a:fld id="{FABDA563-4D0A-4AB3-8401-1FCE41874094}" type="CELLRANGE">
                      <a:rPr lang="en-IN"/>
                      <a:pPr/>
                      <a:t>[CELLRANGE]</a:t>
                    </a:fld>
                    <a:r>
                      <a:rPr lang="en-IN" baseline="0"/>
                      <a:t>, </a:t>
                    </a:r>
                    <a:fld id="{AA8963D2-D389-4507-BE41-577E5859BFC0}" type="CATEGORYNAME">
                      <a:rPr lang="en-IN" baseline="0"/>
                      <a:pPr/>
                      <a:t>[CATEGORY NAME]</a:t>
                    </a:fld>
                    <a:r>
                      <a:rPr lang="en-IN" baseline="0"/>
                      <a:t>, </a:t>
                    </a:r>
                    <a:fld id="{1A22990F-4424-4676-ABBD-AAE8E979E98D}"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AB5-4C11-84F1-7E1260F58F7D}"/>
                </c:ext>
              </c:extLst>
            </c:dLbl>
            <c:dLbl>
              <c:idx val="30"/>
              <c:tx>
                <c:rich>
                  <a:bodyPr/>
                  <a:lstStyle/>
                  <a:p>
                    <a:fld id="{750394AA-14D5-46A9-9538-DD246777A9E3}" type="CELLRANGE">
                      <a:rPr lang="en-IN"/>
                      <a:pPr/>
                      <a:t>[CELLRANGE]</a:t>
                    </a:fld>
                    <a:r>
                      <a:rPr lang="en-IN" baseline="0"/>
                      <a:t>, </a:t>
                    </a:r>
                    <a:fld id="{DA209572-0B67-4D5A-B5AC-39A19B279C02}" type="CATEGORYNAME">
                      <a:rPr lang="en-IN" baseline="0"/>
                      <a:pPr/>
                      <a:t>[CATEGORY NAME]</a:t>
                    </a:fld>
                    <a:r>
                      <a:rPr lang="en-IN" baseline="0"/>
                      <a:t>, </a:t>
                    </a:r>
                    <a:fld id="{2B7F41FB-C8F2-49A2-9506-C7DF04C6081E}"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AB5-4C11-84F1-7E1260F58F7D}"/>
                </c:ext>
              </c:extLst>
            </c:dLbl>
            <c:dLbl>
              <c:idx val="31"/>
              <c:tx>
                <c:rich>
                  <a:bodyPr/>
                  <a:lstStyle/>
                  <a:p>
                    <a:fld id="{F9867137-0690-4C46-BFEC-587928238D7A}" type="CELLRANGE">
                      <a:rPr lang="en-IN"/>
                      <a:pPr/>
                      <a:t>[CELLRANGE]</a:t>
                    </a:fld>
                    <a:r>
                      <a:rPr lang="en-IN" baseline="0"/>
                      <a:t>, </a:t>
                    </a:r>
                    <a:fld id="{DF2B730B-8913-4F06-8D68-80D31FD6E7EE}" type="CATEGORYNAME">
                      <a:rPr lang="en-IN" baseline="0"/>
                      <a:pPr/>
                      <a:t>[CATEGORY NAME]</a:t>
                    </a:fld>
                    <a:r>
                      <a:rPr lang="en-IN" baseline="0"/>
                      <a:t>, </a:t>
                    </a:r>
                    <a:fld id="{769BF339-89C2-4BC0-8701-B0019A68C55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AB5-4C11-84F1-7E1260F58F7D}"/>
                </c:ext>
              </c:extLst>
            </c:dLbl>
            <c:dLbl>
              <c:idx val="32"/>
              <c:tx>
                <c:rich>
                  <a:bodyPr/>
                  <a:lstStyle/>
                  <a:p>
                    <a:fld id="{CF6357BE-6B94-4812-8F9F-B1D135592C98}" type="CELLRANGE">
                      <a:rPr lang="en-IN"/>
                      <a:pPr/>
                      <a:t>[CELLRANGE]</a:t>
                    </a:fld>
                    <a:r>
                      <a:rPr lang="en-IN" baseline="0"/>
                      <a:t>, </a:t>
                    </a:r>
                    <a:fld id="{0332812A-F77E-4BBE-8F60-050B08F17275}" type="CATEGORYNAME">
                      <a:rPr lang="en-IN" baseline="0"/>
                      <a:pPr/>
                      <a:t>[CATEGORY NAME]</a:t>
                    </a:fld>
                    <a:r>
                      <a:rPr lang="en-IN" baseline="0"/>
                      <a:t>, </a:t>
                    </a:r>
                    <a:fld id="{9E0953F8-34AD-4C82-BEE3-CE770A626A67}"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AB5-4C11-84F1-7E1260F58F7D}"/>
                </c:ext>
              </c:extLst>
            </c:dLbl>
            <c:dLbl>
              <c:idx val="33"/>
              <c:tx>
                <c:rich>
                  <a:bodyPr/>
                  <a:lstStyle/>
                  <a:p>
                    <a:fld id="{F7C8AB78-6DF8-4703-B51E-BB2B54375B8E}" type="CELLRANGE">
                      <a:rPr lang="en-IN"/>
                      <a:pPr/>
                      <a:t>[CELLRANGE]</a:t>
                    </a:fld>
                    <a:r>
                      <a:rPr lang="en-IN" baseline="0"/>
                      <a:t>, </a:t>
                    </a:r>
                    <a:fld id="{0CD76A40-5832-4AD0-84B0-C190B4ADA8AD}" type="CATEGORYNAME">
                      <a:rPr lang="en-IN" baseline="0"/>
                      <a:pPr/>
                      <a:t>[CATEGORY NAME]</a:t>
                    </a:fld>
                    <a:r>
                      <a:rPr lang="en-IN" baseline="0"/>
                      <a:t>, </a:t>
                    </a:r>
                    <a:fld id="{DE2931FE-5E52-42CD-95B7-4151C62B0C75}"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AB5-4C11-84F1-7E1260F58F7D}"/>
                </c:ext>
              </c:extLst>
            </c:dLbl>
            <c:dLbl>
              <c:idx val="34"/>
              <c:tx>
                <c:rich>
                  <a:bodyPr/>
                  <a:lstStyle/>
                  <a:p>
                    <a:fld id="{27D22673-174D-4EE8-905C-8D2B8D3B920B}" type="CELLRANGE">
                      <a:rPr lang="en-IN"/>
                      <a:pPr/>
                      <a:t>[CELLRANGE]</a:t>
                    </a:fld>
                    <a:r>
                      <a:rPr lang="en-IN" baseline="0"/>
                      <a:t>, </a:t>
                    </a:r>
                    <a:fld id="{C825ECE0-3E41-4ABE-959F-238B6BCC05B3}" type="CATEGORYNAME">
                      <a:rPr lang="en-IN" baseline="0"/>
                      <a:pPr/>
                      <a:t>[CATEGORY NAME]</a:t>
                    </a:fld>
                    <a:r>
                      <a:rPr lang="en-IN" baseline="0"/>
                      <a:t>, </a:t>
                    </a:r>
                    <a:fld id="{E080269A-6F52-45E7-AFB8-DB3DFFD6DCC5}"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AB5-4C11-84F1-7E1260F58F7D}"/>
                </c:ext>
              </c:extLst>
            </c:dLbl>
            <c:dLbl>
              <c:idx val="35"/>
              <c:tx>
                <c:rich>
                  <a:bodyPr/>
                  <a:lstStyle/>
                  <a:p>
                    <a:fld id="{7E4D9BC6-F384-478A-88F3-6CC312DF869F}" type="CELLRANGE">
                      <a:rPr lang="en-IN"/>
                      <a:pPr/>
                      <a:t>[CELLRANGE]</a:t>
                    </a:fld>
                    <a:r>
                      <a:rPr lang="en-IN" baseline="0"/>
                      <a:t>, </a:t>
                    </a:r>
                    <a:fld id="{C2CA90D3-9BA1-4E3E-A094-A1D26B7B1B65}" type="CATEGORYNAME">
                      <a:rPr lang="en-IN" baseline="0"/>
                      <a:pPr/>
                      <a:t>[CATEGORY NAME]</a:t>
                    </a:fld>
                    <a:r>
                      <a:rPr lang="en-IN" baseline="0"/>
                      <a:t>, </a:t>
                    </a:r>
                    <a:fld id="{7AD7D500-6D7C-48D1-9476-27829818D95E}"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AB5-4C11-84F1-7E1260F58F7D}"/>
                </c:ext>
              </c:extLst>
            </c:dLbl>
            <c:dLbl>
              <c:idx val="36"/>
              <c:tx>
                <c:rich>
                  <a:bodyPr/>
                  <a:lstStyle/>
                  <a:p>
                    <a:fld id="{1C3EBC95-B8AA-443B-9607-C803F10D3E60}" type="CELLRANGE">
                      <a:rPr lang="en-IN"/>
                      <a:pPr/>
                      <a:t>[CELLRANGE]</a:t>
                    </a:fld>
                    <a:r>
                      <a:rPr lang="en-IN" baseline="0"/>
                      <a:t>, </a:t>
                    </a:r>
                    <a:fld id="{740CB7D6-1960-46E6-9B98-C9895B921098}" type="CATEGORYNAME">
                      <a:rPr lang="en-IN" baseline="0"/>
                      <a:pPr/>
                      <a:t>[CATEGORY NAME]</a:t>
                    </a:fld>
                    <a:r>
                      <a:rPr lang="en-IN" baseline="0"/>
                      <a:t>, </a:t>
                    </a:r>
                    <a:fld id="{53616A0B-90B4-4BD2-B4DE-C1B809745114}"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AB5-4C11-84F1-7E1260F58F7D}"/>
                </c:ext>
              </c:extLst>
            </c:dLbl>
            <c:dLbl>
              <c:idx val="37"/>
              <c:tx>
                <c:rich>
                  <a:bodyPr/>
                  <a:lstStyle/>
                  <a:p>
                    <a:fld id="{7FD328C8-A38F-4B6F-A988-633505D458A9}" type="CELLRANGE">
                      <a:rPr lang="en-IN"/>
                      <a:pPr/>
                      <a:t>[CELLRANGE]</a:t>
                    </a:fld>
                    <a:r>
                      <a:rPr lang="en-IN" baseline="0"/>
                      <a:t>, </a:t>
                    </a:r>
                    <a:fld id="{E924459B-FF17-46FE-A551-54A4B429B0CE}" type="CATEGORYNAME">
                      <a:rPr lang="en-IN" baseline="0"/>
                      <a:pPr/>
                      <a:t>[CATEGORY NAME]</a:t>
                    </a:fld>
                    <a:r>
                      <a:rPr lang="en-IN" baseline="0"/>
                      <a:t>, </a:t>
                    </a:r>
                    <a:fld id="{4571D367-4127-4072-8D74-9B3AD23F6C34}"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AB5-4C11-84F1-7E1260F58F7D}"/>
                </c:ext>
              </c:extLst>
            </c:dLbl>
            <c:dLbl>
              <c:idx val="38"/>
              <c:tx>
                <c:rich>
                  <a:bodyPr/>
                  <a:lstStyle/>
                  <a:p>
                    <a:fld id="{D8827BC8-CAE8-4D76-9C69-8D97CCAE05FB}" type="CELLRANGE">
                      <a:rPr lang="en-IN"/>
                      <a:pPr/>
                      <a:t>[CELLRANGE]</a:t>
                    </a:fld>
                    <a:r>
                      <a:rPr lang="en-IN" baseline="0"/>
                      <a:t>, </a:t>
                    </a:r>
                    <a:fld id="{FC35E3BA-F40A-416B-9D01-0E444B492F5B}" type="CATEGORYNAME">
                      <a:rPr lang="en-IN" baseline="0"/>
                      <a:pPr/>
                      <a:t>[CATEGORY NAME]</a:t>
                    </a:fld>
                    <a:r>
                      <a:rPr lang="en-IN" baseline="0"/>
                      <a:t>, </a:t>
                    </a:r>
                    <a:fld id="{DCFB11AF-D316-4884-B0A2-FBC27B81CBCA}"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AB5-4C11-84F1-7E1260F58F7D}"/>
                </c:ext>
              </c:extLst>
            </c:dLbl>
            <c:dLbl>
              <c:idx val="39"/>
              <c:tx>
                <c:rich>
                  <a:bodyPr/>
                  <a:lstStyle/>
                  <a:p>
                    <a:fld id="{ADC81A8E-1EE4-444F-862D-8A554897D1C2}" type="CELLRANGE">
                      <a:rPr lang="en-IN"/>
                      <a:pPr/>
                      <a:t>[CELLRANGE]</a:t>
                    </a:fld>
                    <a:r>
                      <a:rPr lang="en-IN" baseline="0"/>
                      <a:t>, </a:t>
                    </a:r>
                    <a:fld id="{A1D71CE2-355B-4D1A-852E-6347DD8C4118}" type="CATEGORYNAME">
                      <a:rPr lang="en-IN" baseline="0"/>
                      <a:pPr/>
                      <a:t>[CATEGORY NAME]</a:t>
                    </a:fld>
                    <a:r>
                      <a:rPr lang="en-IN" baseline="0"/>
                      <a:t>, </a:t>
                    </a:r>
                    <a:fld id="{B8491839-D4A6-4B0E-9085-336EA937F16D}"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5AB5-4C11-84F1-7E1260F58F7D}"/>
                </c:ext>
              </c:extLst>
            </c:dLbl>
            <c:dLbl>
              <c:idx val="40"/>
              <c:tx>
                <c:rich>
                  <a:bodyPr/>
                  <a:lstStyle/>
                  <a:p>
                    <a:fld id="{447A6B7D-8454-40A3-A17F-2051EA56BD2E}" type="CELLRANGE">
                      <a:rPr lang="en-IN"/>
                      <a:pPr/>
                      <a:t>[CELLRANGE]</a:t>
                    </a:fld>
                    <a:r>
                      <a:rPr lang="en-IN" baseline="0"/>
                      <a:t>, </a:t>
                    </a:r>
                    <a:fld id="{2B21CF9C-B8E1-4D6B-BA18-479A431E523A}" type="CATEGORYNAME">
                      <a:rPr lang="en-IN" baseline="0"/>
                      <a:pPr/>
                      <a:t>[CATEGORY NAME]</a:t>
                    </a:fld>
                    <a:r>
                      <a:rPr lang="en-IN" baseline="0"/>
                      <a:t>, </a:t>
                    </a:r>
                    <a:fld id="{BEAB40C1-10D2-4750-B802-45D0D6259B8D}"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5AB5-4C11-84F1-7E1260F58F7D}"/>
                </c:ext>
              </c:extLst>
            </c:dLbl>
            <c:dLbl>
              <c:idx val="41"/>
              <c:tx>
                <c:rich>
                  <a:bodyPr/>
                  <a:lstStyle/>
                  <a:p>
                    <a:fld id="{C850D422-545C-42CB-A45B-6E0B06EE6421}" type="CELLRANGE">
                      <a:rPr lang="en-IN"/>
                      <a:pPr/>
                      <a:t>[CELLRANGE]</a:t>
                    </a:fld>
                    <a:r>
                      <a:rPr lang="en-IN" baseline="0"/>
                      <a:t>, </a:t>
                    </a:r>
                    <a:fld id="{9E9BEC26-C148-4E57-AB56-35B564CD910A}" type="CATEGORYNAME">
                      <a:rPr lang="en-IN" baseline="0"/>
                      <a:pPr/>
                      <a:t>[CATEGORY NAME]</a:t>
                    </a:fld>
                    <a:r>
                      <a:rPr lang="en-IN" baseline="0"/>
                      <a:t>, </a:t>
                    </a:r>
                    <a:fld id="{41AD8C86-C305-4CA7-AB0D-BA3F4E8ADB74}"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5AB5-4C11-84F1-7E1260F58F7D}"/>
                </c:ext>
              </c:extLst>
            </c:dLbl>
            <c:dLbl>
              <c:idx val="42"/>
              <c:tx>
                <c:rich>
                  <a:bodyPr/>
                  <a:lstStyle/>
                  <a:p>
                    <a:fld id="{5D72DE0D-C6DA-4848-A979-355BA98AAE18}" type="CELLRANGE">
                      <a:rPr lang="en-IN"/>
                      <a:pPr/>
                      <a:t>[CELLRANGE]</a:t>
                    </a:fld>
                    <a:r>
                      <a:rPr lang="en-IN" baseline="0"/>
                      <a:t>, </a:t>
                    </a:r>
                    <a:fld id="{90E4CEF5-D61F-4BFC-AC88-FFA272B60F1B}" type="CATEGORYNAME">
                      <a:rPr lang="en-IN" baseline="0"/>
                      <a:pPr/>
                      <a:t>[CATEGORY NAME]</a:t>
                    </a:fld>
                    <a:r>
                      <a:rPr lang="en-IN" baseline="0"/>
                      <a:t>, </a:t>
                    </a:r>
                    <a:fld id="{68AB19B2-4EDC-4816-9ADD-B4F762D8F53C}"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5AB5-4C11-84F1-7E1260F58F7D}"/>
                </c:ext>
              </c:extLst>
            </c:dLbl>
            <c:dLbl>
              <c:idx val="43"/>
              <c:tx>
                <c:rich>
                  <a:bodyPr/>
                  <a:lstStyle/>
                  <a:p>
                    <a:fld id="{41F85623-F153-4353-B63B-614075AE3CC3}" type="CELLRANGE">
                      <a:rPr lang="en-IN"/>
                      <a:pPr/>
                      <a:t>[CELLRANGE]</a:t>
                    </a:fld>
                    <a:r>
                      <a:rPr lang="en-IN" baseline="0"/>
                      <a:t>, </a:t>
                    </a:r>
                    <a:fld id="{61306378-BC95-4D88-AE1F-E47B83B36E17}" type="CATEGORYNAME">
                      <a:rPr lang="en-IN" baseline="0"/>
                      <a:pPr/>
                      <a:t>[CATEGORY NAME]</a:t>
                    </a:fld>
                    <a:r>
                      <a:rPr lang="en-IN" baseline="0"/>
                      <a:t>, </a:t>
                    </a:r>
                    <a:fld id="{5979A226-D808-4602-8F6C-178A172F0F84}"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5AB5-4C11-84F1-7E1260F58F7D}"/>
                </c:ext>
              </c:extLst>
            </c:dLbl>
            <c:dLbl>
              <c:idx val="44"/>
              <c:tx>
                <c:rich>
                  <a:bodyPr/>
                  <a:lstStyle/>
                  <a:p>
                    <a:fld id="{D35E86D2-2B99-4750-A247-349A12F2B176}" type="CELLRANGE">
                      <a:rPr lang="en-IN"/>
                      <a:pPr/>
                      <a:t>[CELLRANGE]</a:t>
                    </a:fld>
                    <a:r>
                      <a:rPr lang="en-IN" baseline="0"/>
                      <a:t>, </a:t>
                    </a:r>
                    <a:fld id="{FB55E415-99E0-4689-965E-DDC0D599D2F3}" type="CATEGORYNAME">
                      <a:rPr lang="en-IN" baseline="0"/>
                      <a:pPr/>
                      <a:t>[CATEGORY NAME]</a:t>
                    </a:fld>
                    <a:r>
                      <a:rPr lang="en-IN" baseline="0"/>
                      <a:t>, </a:t>
                    </a:r>
                    <a:fld id="{FE00FA82-3930-4D4E-8130-33BBF9FFED4B}"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5AB5-4C11-84F1-7E1260F58F7D}"/>
                </c:ext>
              </c:extLst>
            </c:dLbl>
            <c:dLbl>
              <c:idx val="45"/>
              <c:tx>
                <c:rich>
                  <a:bodyPr/>
                  <a:lstStyle/>
                  <a:p>
                    <a:fld id="{2C95C187-1DB5-485E-A24F-110D6C3AD4AC}" type="CELLRANGE">
                      <a:rPr lang="en-IN"/>
                      <a:pPr/>
                      <a:t>[CELLRANGE]</a:t>
                    </a:fld>
                    <a:r>
                      <a:rPr lang="en-IN" baseline="0"/>
                      <a:t>, </a:t>
                    </a:r>
                    <a:fld id="{DF9C06E3-E8A6-4BA4-9263-511468260D68}" type="CATEGORYNAME">
                      <a:rPr lang="en-IN" baseline="0"/>
                      <a:pPr/>
                      <a:t>[CATEGORY NAME]</a:t>
                    </a:fld>
                    <a:r>
                      <a:rPr lang="en-IN" baseline="0"/>
                      <a:t>, </a:t>
                    </a:r>
                    <a:fld id="{599522FA-6B20-48FA-B96D-695ACB602993}"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5AB5-4C11-84F1-7E1260F58F7D}"/>
                </c:ext>
              </c:extLst>
            </c:dLbl>
            <c:dLbl>
              <c:idx val="46"/>
              <c:tx>
                <c:rich>
                  <a:bodyPr/>
                  <a:lstStyle/>
                  <a:p>
                    <a:fld id="{F65D09AF-F429-445F-ACEE-312B432C59D2}" type="CELLRANGE">
                      <a:rPr lang="en-IN"/>
                      <a:pPr/>
                      <a:t>[CELLRANGE]</a:t>
                    </a:fld>
                    <a:r>
                      <a:rPr lang="en-IN" baseline="0"/>
                      <a:t>, </a:t>
                    </a:r>
                    <a:fld id="{8A958328-FBDB-4E40-A2AF-54F3A0CD1715}" type="CATEGORYNAME">
                      <a:rPr lang="en-IN" baseline="0"/>
                      <a:pPr/>
                      <a:t>[CATEGORY NAME]</a:t>
                    </a:fld>
                    <a:r>
                      <a:rPr lang="en-IN" baseline="0"/>
                      <a:t>, </a:t>
                    </a:r>
                    <a:fld id="{9D083E72-E7DE-44D1-9661-39169D319B7D}"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5AB5-4C11-84F1-7E1260F58F7D}"/>
                </c:ext>
              </c:extLst>
            </c:dLbl>
            <c:dLbl>
              <c:idx val="47"/>
              <c:tx>
                <c:rich>
                  <a:bodyPr/>
                  <a:lstStyle/>
                  <a:p>
                    <a:fld id="{5E4DA14A-152B-43CF-B725-19ADB4E42BC4}" type="CELLRANGE">
                      <a:rPr lang="en-IN"/>
                      <a:pPr/>
                      <a:t>[CELLRANGE]</a:t>
                    </a:fld>
                    <a:r>
                      <a:rPr lang="en-IN" baseline="0"/>
                      <a:t>, </a:t>
                    </a:r>
                    <a:fld id="{869CE629-7DBF-4374-9083-C8DF8BB540BF}" type="CATEGORYNAME">
                      <a:rPr lang="en-IN" baseline="0"/>
                      <a:pPr/>
                      <a:t>[CATEGORY NAME]</a:t>
                    </a:fld>
                    <a:r>
                      <a:rPr lang="en-IN" baseline="0"/>
                      <a:t>, </a:t>
                    </a:r>
                    <a:fld id="{043E65A3-0681-42B7-A919-7391B913AEB7}"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5AB5-4C11-84F1-7E1260F58F7D}"/>
                </c:ext>
              </c:extLst>
            </c:dLbl>
            <c:dLbl>
              <c:idx val="48"/>
              <c:tx>
                <c:rich>
                  <a:bodyPr/>
                  <a:lstStyle/>
                  <a:p>
                    <a:fld id="{ACAD3155-E2ED-42E2-8346-AFBC45763AA3}" type="CELLRANGE">
                      <a:rPr lang="en-IN"/>
                      <a:pPr/>
                      <a:t>[CELLRANGE]</a:t>
                    </a:fld>
                    <a:r>
                      <a:rPr lang="en-IN" baseline="0"/>
                      <a:t>, </a:t>
                    </a:r>
                    <a:fld id="{A9CFE6B2-CB9C-4D60-BCC4-CD23FFC04DBF}" type="CATEGORYNAME">
                      <a:rPr lang="en-IN" baseline="0"/>
                      <a:pPr/>
                      <a:t>[CATEGORY NAME]</a:t>
                    </a:fld>
                    <a:r>
                      <a:rPr lang="en-IN" baseline="0"/>
                      <a:t>, </a:t>
                    </a:r>
                    <a:fld id="{DA572306-5BCA-46C0-9879-196E153F0E28}"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5AB5-4C11-84F1-7E1260F58F7D}"/>
                </c:ext>
              </c:extLst>
            </c:dLbl>
            <c:dLbl>
              <c:idx val="49"/>
              <c:tx>
                <c:rich>
                  <a:bodyPr/>
                  <a:lstStyle/>
                  <a:p>
                    <a:fld id="{06E9B399-E42C-478F-9ECD-A87145A9B98E}" type="CELLRANGE">
                      <a:rPr lang="en-IN"/>
                      <a:pPr/>
                      <a:t>[CELLRANGE]</a:t>
                    </a:fld>
                    <a:r>
                      <a:rPr lang="en-IN" baseline="0"/>
                      <a:t>, </a:t>
                    </a:r>
                    <a:fld id="{8D6CE39C-D9DF-45A6-A241-975DA7E0D6C4}" type="CATEGORYNAME">
                      <a:rPr lang="en-IN" baseline="0"/>
                      <a:pPr/>
                      <a:t>[CATEGORY NAME]</a:t>
                    </a:fld>
                    <a:r>
                      <a:rPr lang="en-IN" baseline="0"/>
                      <a:t>, </a:t>
                    </a:r>
                    <a:fld id="{BF5248CC-A605-452A-8A7F-9637822FDE4C}"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5AB5-4C11-84F1-7E1260F58F7D}"/>
                </c:ext>
              </c:extLst>
            </c:dLbl>
            <c:dLbl>
              <c:idx val="50"/>
              <c:tx>
                <c:rich>
                  <a:bodyPr/>
                  <a:lstStyle/>
                  <a:p>
                    <a:fld id="{8FF85DC9-A335-4EE4-9F62-8136DCE31562}" type="CELLRANGE">
                      <a:rPr lang="en-IN"/>
                      <a:pPr/>
                      <a:t>[CELLRANGE]</a:t>
                    </a:fld>
                    <a:r>
                      <a:rPr lang="en-IN" baseline="0"/>
                      <a:t>, </a:t>
                    </a:r>
                    <a:fld id="{E9894F6F-9363-451C-9A61-1D0330241AFB}" type="CATEGORYNAME">
                      <a:rPr lang="en-IN" baseline="0"/>
                      <a:pPr/>
                      <a:t>[CATEGORY NAME]</a:t>
                    </a:fld>
                    <a:r>
                      <a:rPr lang="en-IN" baseline="0"/>
                      <a:t>, </a:t>
                    </a:r>
                    <a:fld id="{086C0636-E95F-43D6-AA41-84E10C37EE9C}"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5AB5-4C11-84F1-7E1260F58F7D}"/>
                </c:ext>
              </c:extLst>
            </c:dLbl>
            <c:dLbl>
              <c:idx val="51"/>
              <c:tx>
                <c:rich>
                  <a:bodyPr/>
                  <a:lstStyle/>
                  <a:p>
                    <a:fld id="{BEB82F99-0272-4178-9971-CC1CE93FE27B}" type="CELLRANGE">
                      <a:rPr lang="en-IN"/>
                      <a:pPr/>
                      <a:t>[CELLRANGE]</a:t>
                    </a:fld>
                    <a:r>
                      <a:rPr lang="en-IN" baseline="0"/>
                      <a:t>, </a:t>
                    </a:r>
                    <a:fld id="{8A3DB17D-2750-4DF6-AB75-D5F40E81B6C8}" type="CATEGORYNAME">
                      <a:rPr lang="en-IN" baseline="0"/>
                      <a:pPr/>
                      <a:t>[CATEGORY NAME]</a:t>
                    </a:fld>
                    <a:r>
                      <a:rPr lang="en-IN" baseline="0"/>
                      <a:t>, </a:t>
                    </a:r>
                    <a:fld id="{2CA5096D-577A-4DA6-9208-B364FE91F2AD}"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5AB5-4C11-84F1-7E1260F58F7D}"/>
                </c:ext>
              </c:extLst>
            </c:dLbl>
            <c:dLbl>
              <c:idx val="52"/>
              <c:tx>
                <c:rich>
                  <a:bodyPr/>
                  <a:lstStyle/>
                  <a:p>
                    <a:fld id="{644197E6-76A5-4AF3-B667-C3789F7C8CD9}" type="CELLRANGE">
                      <a:rPr lang="en-IN"/>
                      <a:pPr/>
                      <a:t>[CELLRANGE]</a:t>
                    </a:fld>
                    <a:r>
                      <a:rPr lang="en-IN" baseline="0"/>
                      <a:t>, </a:t>
                    </a:r>
                    <a:fld id="{DAD01C00-6E94-43F1-B1E7-C30566487813}" type="CATEGORYNAME">
                      <a:rPr lang="en-IN" baseline="0"/>
                      <a:pPr/>
                      <a:t>[CATEGORY NAME]</a:t>
                    </a:fld>
                    <a:r>
                      <a:rPr lang="en-IN" baseline="0"/>
                      <a:t>, </a:t>
                    </a:r>
                    <a:fld id="{33B3F1B6-75DC-4A6A-A47E-E2E604A9A10D}"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5AB5-4C11-84F1-7E1260F58F7D}"/>
                </c:ext>
              </c:extLst>
            </c:dLbl>
            <c:dLbl>
              <c:idx val="53"/>
              <c:tx>
                <c:rich>
                  <a:bodyPr/>
                  <a:lstStyle/>
                  <a:p>
                    <a:fld id="{C74F512B-3DE3-440B-A84E-CEB135F17E3D}" type="CELLRANGE">
                      <a:rPr lang="en-IN"/>
                      <a:pPr/>
                      <a:t>[CELLRANGE]</a:t>
                    </a:fld>
                    <a:r>
                      <a:rPr lang="en-IN" baseline="0"/>
                      <a:t>, </a:t>
                    </a:r>
                    <a:fld id="{B6DD9E99-9791-4533-BFCE-2DCFE0E13B7D}" type="CATEGORYNAME">
                      <a:rPr lang="en-IN" baseline="0"/>
                      <a:pPr/>
                      <a:t>[CATEGORY NAME]</a:t>
                    </a:fld>
                    <a:r>
                      <a:rPr lang="en-IN" baseline="0"/>
                      <a:t>, </a:t>
                    </a:r>
                    <a:fld id="{3740341A-89E8-4471-B670-5C1D58ABDA4B}"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5AB5-4C11-84F1-7E1260F58F7D}"/>
                </c:ext>
              </c:extLst>
            </c:dLbl>
            <c:dLbl>
              <c:idx val="54"/>
              <c:tx>
                <c:rich>
                  <a:bodyPr/>
                  <a:lstStyle/>
                  <a:p>
                    <a:fld id="{98220867-97A1-4085-9B56-1D607517DB5C}" type="CELLRANGE">
                      <a:rPr lang="en-IN"/>
                      <a:pPr/>
                      <a:t>[CELLRANGE]</a:t>
                    </a:fld>
                    <a:r>
                      <a:rPr lang="en-IN" baseline="0"/>
                      <a:t>, </a:t>
                    </a:r>
                    <a:fld id="{B1072504-7598-4865-AB9F-CCBE48276DA9}" type="CATEGORYNAME">
                      <a:rPr lang="en-IN" baseline="0"/>
                      <a:pPr/>
                      <a:t>[CATEGORY NAME]</a:t>
                    </a:fld>
                    <a:r>
                      <a:rPr lang="en-IN" baseline="0"/>
                      <a:t>, </a:t>
                    </a:r>
                    <a:fld id="{3F2BD56B-9C23-4275-82EB-FBF16A069F9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5AB5-4C11-84F1-7E1260F58F7D}"/>
                </c:ext>
              </c:extLst>
            </c:dLbl>
            <c:dLbl>
              <c:idx val="55"/>
              <c:tx>
                <c:rich>
                  <a:bodyPr/>
                  <a:lstStyle/>
                  <a:p>
                    <a:fld id="{3BAE6F06-CE94-48EF-BBC5-5BF0EC3F1ED2}" type="CELLRANGE">
                      <a:rPr lang="en-IN"/>
                      <a:pPr/>
                      <a:t>[CELLRANGE]</a:t>
                    </a:fld>
                    <a:r>
                      <a:rPr lang="en-IN" baseline="0"/>
                      <a:t>, </a:t>
                    </a:r>
                    <a:fld id="{6F3B717A-C6D3-4895-B3E1-B7208121B8B8}" type="CATEGORYNAME">
                      <a:rPr lang="en-IN" baseline="0"/>
                      <a:pPr/>
                      <a:t>[CATEGORY NAME]</a:t>
                    </a:fld>
                    <a:r>
                      <a:rPr lang="en-IN" baseline="0"/>
                      <a:t>, </a:t>
                    </a:r>
                    <a:fld id="{D238EC98-4015-4E4A-AD96-33257FBE9A14}"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5AB5-4C11-84F1-7E1260F58F7D}"/>
                </c:ext>
              </c:extLst>
            </c:dLbl>
            <c:dLbl>
              <c:idx val="56"/>
              <c:tx>
                <c:rich>
                  <a:bodyPr/>
                  <a:lstStyle/>
                  <a:p>
                    <a:fld id="{624A264D-3552-44DB-BB7C-C08389B19109}" type="CELLRANGE">
                      <a:rPr lang="en-IN"/>
                      <a:pPr/>
                      <a:t>[CELLRANGE]</a:t>
                    </a:fld>
                    <a:r>
                      <a:rPr lang="en-IN" baseline="0"/>
                      <a:t>, </a:t>
                    </a:r>
                    <a:fld id="{C3B57A85-DF9B-44D4-A7C0-15F79F733435}" type="CATEGORYNAME">
                      <a:rPr lang="en-IN" baseline="0"/>
                      <a:pPr/>
                      <a:t>[CATEGORY NAME]</a:t>
                    </a:fld>
                    <a:r>
                      <a:rPr lang="en-IN" baseline="0"/>
                      <a:t>, </a:t>
                    </a:r>
                    <a:fld id="{EDD82DC2-539D-4748-A7A5-AC8FC58EF7A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5AB5-4C11-84F1-7E1260F58F7D}"/>
                </c:ext>
              </c:extLst>
            </c:dLbl>
            <c:dLbl>
              <c:idx val="57"/>
              <c:tx>
                <c:rich>
                  <a:bodyPr/>
                  <a:lstStyle/>
                  <a:p>
                    <a:fld id="{83FCDC53-1914-44AF-B4E5-58F5AD160314}" type="CELLRANGE">
                      <a:rPr lang="en-IN"/>
                      <a:pPr/>
                      <a:t>[CELLRANGE]</a:t>
                    </a:fld>
                    <a:r>
                      <a:rPr lang="en-IN" baseline="0"/>
                      <a:t>, </a:t>
                    </a:r>
                    <a:fld id="{D3C24369-459A-467C-91F1-21E0EF761845}" type="CATEGORYNAME">
                      <a:rPr lang="en-IN" baseline="0"/>
                      <a:pPr/>
                      <a:t>[CATEGORY NAME]</a:t>
                    </a:fld>
                    <a:r>
                      <a:rPr lang="en-IN" baseline="0"/>
                      <a:t>, </a:t>
                    </a:r>
                    <a:fld id="{B4E36DD5-0FF6-4BC1-B6DB-4C95DC8116CC}"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5AB5-4C11-84F1-7E1260F58F7D}"/>
                </c:ext>
              </c:extLst>
            </c:dLbl>
            <c:dLbl>
              <c:idx val="58"/>
              <c:tx>
                <c:rich>
                  <a:bodyPr/>
                  <a:lstStyle/>
                  <a:p>
                    <a:fld id="{EF18922A-80EB-488A-B1AB-EA9CEFCF406E}" type="CELLRANGE">
                      <a:rPr lang="en-IN"/>
                      <a:pPr/>
                      <a:t>[CELLRANGE]</a:t>
                    </a:fld>
                    <a:r>
                      <a:rPr lang="en-IN" baseline="0"/>
                      <a:t>, </a:t>
                    </a:r>
                    <a:fld id="{08C8902C-804E-4B44-83EA-C8A0971A6F6D}" type="CATEGORYNAME">
                      <a:rPr lang="en-IN" baseline="0"/>
                      <a:pPr/>
                      <a:t>[CATEGORY NAME]</a:t>
                    </a:fld>
                    <a:r>
                      <a:rPr lang="en-IN" baseline="0"/>
                      <a:t>, </a:t>
                    </a:r>
                    <a:fld id="{83545CED-2A05-42A3-B565-990DDD2AE8F3}"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5AB5-4C11-84F1-7E1260F58F7D}"/>
                </c:ext>
              </c:extLst>
            </c:dLbl>
            <c:dLbl>
              <c:idx val="59"/>
              <c:tx>
                <c:rich>
                  <a:bodyPr/>
                  <a:lstStyle/>
                  <a:p>
                    <a:fld id="{9A35FDDC-3610-4A6B-82DF-D7DFD11B7DBB}" type="CELLRANGE">
                      <a:rPr lang="en-IN"/>
                      <a:pPr/>
                      <a:t>[CELLRANGE]</a:t>
                    </a:fld>
                    <a:r>
                      <a:rPr lang="en-IN" baseline="0"/>
                      <a:t>, </a:t>
                    </a:r>
                    <a:fld id="{33848DFF-5FDF-4230-A2AE-2EAB92531EF4}" type="CATEGORYNAME">
                      <a:rPr lang="en-IN" baseline="0"/>
                      <a:pPr/>
                      <a:t>[CATEGORY NAME]</a:t>
                    </a:fld>
                    <a:r>
                      <a:rPr lang="en-IN" baseline="0"/>
                      <a:t>, </a:t>
                    </a:r>
                    <a:fld id="{58A47887-D15A-47B3-82FB-218A761083D6}"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5AB5-4C11-84F1-7E1260F58F7D}"/>
                </c:ext>
              </c:extLst>
            </c:dLbl>
            <c:dLbl>
              <c:idx val="60"/>
              <c:tx>
                <c:rich>
                  <a:bodyPr/>
                  <a:lstStyle/>
                  <a:p>
                    <a:fld id="{CFFF6A4E-9507-4706-B439-082E32B9D32D}" type="CELLRANGE">
                      <a:rPr lang="en-IN"/>
                      <a:pPr/>
                      <a:t>[CELLRANGE]</a:t>
                    </a:fld>
                    <a:r>
                      <a:rPr lang="en-IN" baseline="0"/>
                      <a:t>, </a:t>
                    </a:r>
                    <a:fld id="{7DBE511C-7E04-4AD2-A6B8-38A019483449}" type="CATEGORYNAME">
                      <a:rPr lang="en-IN" baseline="0"/>
                      <a:pPr/>
                      <a:t>[CATEGORY NAME]</a:t>
                    </a:fld>
                    <a:r>
                      <a:rPr lang="en-IN" baseline="0"/>
                      <a:t>, </a:t>
                    </a:r>
                    <a:fld id="{9A7343B7-3DD9-4604-ACF0-7CE0DB686E4C}"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5AB5-4C11-84F1-7E1260F58F7D}"/>
                </c:ext>
              </c:extLst>
            </c:dLbl>
            <c:dLbl>
              <c:idx val="61"/>
              <c:tx>
                <c:rich>
                  <a:bodyPr/>
                  <a:lstStyle/>
                  <a:p>
                    <a:fld id="{CC7E0243-EFA4-4475-BE26-932A7A1F8291}" type="CELLRANGE">
                      <a:rPr lang="en-IN"/>
                      <a:pPr/>
                      <a:t>[CELLRANGE]</a:t>
                    </a:fld>
                    <a:r>
                      <a:rPr lang="en-IN" baseline="0"/>
                      <a:t>, </a:t>
                    </a:r>
                    <a:fld id="{E98353F2-C755-4E3B-80FE-7459769CEECE}" type="CATEGORYNAME">
                      <a:rPr lang="en-IN" baseline="0"/>
                      <a:pPr/>
                      <a:t>[CATEGORY NAME]</a:t>
                    </a:fld>
                    <a:r>
                      <a:rPr lang="en-IN" baseline="0"/>
                      <a:t>, </a:t>
                    </a:r>
                    <a:fld id="{AC48D32D-AC3F-48DA-9D76-0D2EB11964A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5AB5-4C11-84F1-7E1260F58F7D}"/>
                </c:ext>
              </c:extLst>
            </c:dLbl>
            <c:dLbl>
              <c:idx val="62"/>
              <c:tx>
                <c:rich>
                  <a:bodyPr/>
                  <a:lstStyle/>
                  <a:p>
                    <a:fld id="{BF074867-D033-4BCB-9380-78CA9334040F}" type="CELLRANGE">
                      <a:rPr lang="en-IN"/>
                      <a:pPr/>
                      <a:t>[CELLRANGE]</a:t>
                    </a:fld>
                    <a:r>
                      <a:rPr lang="en-IN" baseline="0"/>
                      <a:t>, </a:t>
                    </a:r>
                    <a:fld id="{F924AB55-38C7-4090-9F15-CDBC12EA798E}" type="CATEGORYNAME">
                      <a:rPr lang="en-IN" baseline="0"/>
                      <a:pPr/>
                      <a:t>[CATEGORY NAME]</a:t>
                    </a:fld>
                    <a:r>
                      <a:rPr lang="en-IN" baseline="0"/>
                      <a:t>, </a:t>
                    </a:r>
                    <a:fld id="{3302EEDA-EF5E-4172-99FA-859258F7B676}"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5AB5-4C11-84F1-7E1260F58F7D}"/>
                </c:ext>
              </c:extLst>
            </c:dLbl>
            <c:dLbl>
              <c:idx val="63"/>
              <c:tx>
                <c:rich>
                  <a:bodyPr/>
                  <a:lstStyle/>
                  <a:p>
                    <a:fld id="{C8931A97-9DE6-4D88-9F77-01CDD9FEC96A}" type="CELLRANGE">
                      <a:rPr lang="en-IN"/>
                      <a:pPr/>
                      <a:t>[CELLRANGE]</a:t>
                    </a:fld>
                    <a:r>
                      <a:rPr lang="en-IN" baseline="0"/>
                      <a:t>, </a:t>
                    </a:r>
                    <a:fld id="{7DD6DD39-89F7-448B-9369-DA51FA4E6DC6}" type="CATEGORYNAME">
                      <a:rPr lang="en-IN" baseline="0"/>
                      <a:pPr/>
                      <a:t>[CATEGORY NAME]</a:t>
                    </a:fld>
                    <a:r>
                      <a:rPr lang="en-IN" baseline="0"/>
                      <a:t>, </a:t>
                    </a:r>
                    <a:fld id="{34D2F35F-4EAD-45B9-9998-59C70C67E48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5AB5-4C11-84F1-7E1260F58F7D}"/>
                </c:ext>
              </c:extLst>
            </c:dLbl>
            <c:dLbl>
              <c:idx val="64"/>
              <c:tx>
                <c:rich>
                  <a:bodyPr/>
                  <a:lstStyle/>
                  <a:p>
                    <a:fld id="{B92A52A6-938C-407A-9558-6F695F5FBF46}" type="CELLRANGE">
                      <a:rPr lang="en-IN"/>
                      <a:pPr/>
                      <a:t>[CELLRANGE]</a:t>
                    </a:fld>
                    <a:r>
                      <a:rPr lang="en-IN" baseline="0"/>
                      <a:t>, </a:t>
                    </a:r>
                    <a:fld id="{4636E386-D20B-4922-B593-BDEAAF9E33B1}" type="CATEGORYNAME">
                      <a:rPr lang="en-IN" baseline="0"/>
                      <a:pPr/>
                      <a:t>[CATEGORY NAME]</a:t>
                    </a:fld>
                    <a:r>
                      <a:rPr lang="en-IN" baseline="0"/>
                      <a:t>, </a:t>
                    </a:r>
                    <a:fld id="{05137D9A-A424-4E5E-9DD9-CE312025088C}"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5AB5-4C11-84F1-7E1260F58F7D}"/>
                </c:ext>
              </c:extLst>
            </c:dLbl>
            <c:dLbl>
              <c:idx val="65"/>
              <c:tx>
                <c:rich>
                  <a:bodyPr/>
                  <a:lstStyle/>
                  <a:p>
                    <a:fld id="{94A5893E-6E2B-45A5-9333-6F19C89F188B}" type="CELLRANGE">
                      <a:rPr lang="en-IN"/>
                      <a:pPr/>
                      <a:t>[CELLRANGE]</a:t>
                    </a:fld>
                    <a:r>
                      <a:rPr lang="en-IN" baseline="0"/>
                      <a:t>, </a:t>
                    </a:r>
                    <a:fld id="{57D1059C-46DA-4B2E-B527-E37A78FF2648}" type="CATEGORYNAME">
                      <a:rPr lang="en-IN" baseline="0"/>
                      <a:pPr/>
                      <a:t>[CATEGORY NAME]</a:t>
                    </a:fld>
                    <a:r>
                      <a:rPr lang="en-IN" baseline="0"/>
                      <a:t>, </a:t>
                    </a:r>
                    <a:fld id="{503DF192-14EF-48CB-84AE-265680386B74}"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5AB5-4C11-84F1-7E1260F58F7D}"/>
                </c:ext>
              </c:extLst>
            </c:dLbl>
            <c:dLbl>
              <c:idx val="66"/>
              <c:tx>
                <c:rich>
                  <a:bodyPr/>
                  <a:lstStyle/>
                  <a:p>
                    <a:fld id="{13A9DB80-CD0E-48BA-B1A1-2BF3F08AB02A}" type="CELLRANGE">
                      <a:rPr lang="en-IN"/>
                      <a:pPr/>
                      <a:t>[CELLRANGE]</a:t>
                    </a:fld>
                    <a:r>
                      <a:rPr lang="en-IN" baseline="0"/>
                      <a:t>, </a:t>
                    </a:r>
                    <a:fld id="{3ADD046D-903A-47F1-98A4-979936149591}" type="CATEGORYNAME">
                      <a:rPr lang="en-IN" baseline="0"/>
                      <a:pPr/>
                      <a:t>[CATEGORY NAME]</a:t>
                    </a:fld>
                    <a:r>
                      <a:rPr lang="en-IN" baseline="0"/>
                      <a:t>, </a:t>
                    </a:r>
                    <a:fld id="{D671A3F9-22F9-4802-91BA-F943B72A6184}"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5AB5-4C11-84F1-7E1260F58F7D}"/>
                </c:ext>
              </c:extLst>
            </c:dLbl>
            <c:dLbl>
              <c:idx val="67"/>
              <c:tx>
                <c:rich>
                  <a:bodyPr/>
                  <a:lstStyle/>
                  <a:p>
                    <a:fld id="{93B60291-7165-44FF-B1E2-0817BB6210C3}" type="CELLRANGE">
                      <a:rPr lang="en-IN"/>
                      <a:pPr/>
                      <a:t>[CELLRANGE]</a:t>
                    </a:fld>
                    <a:r>
                      <a:rPr lang="en-IN" baseline="0"/>
                      <a:t>, </a:t>
                    </a:r>
                    <a:fld id="{B5CA582E-DD9F-4255-8397-59FD3CEB7B04}" type="CATEGORYNAME">
                      <a:rPr lang="en-IN" baseline="0"/>
                      <a:pPr/>
                      <a:t>[CATEGORY NAME]</a:t>
                    </a:fld>
                    <a:r>
                      <a:rPr lang="en-IN" baseline="0"/>
                      <a:t>, </a:t>
                    </a:r>
                    <a:fld id="{C64EA33A-BAB9-444E-AE6B-1710D727B4BA}"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5AB5-4C11-84F1-7E1260F58F7D}"/>
                </c:ext>
              </c:extLst>
            </c:dLbl>
            <c:dLbl>
              <c:idx val="68"/>
              <c:tx>
                <c:rich>
                  <a:bodyPr/>
                  <a:lstStyle/>
                  <a:p>
                    <a:fld id="{3CA6AB32-07F1-446F-ABCD-8A0718CB0700}" type="CELLRANGE">
                      <a:rPr lang="en-IN"/>
                      <a:pPr/>
                      <a:t>[CELLRANGE]</a:t>
                    </a:fld>
                    <a:r>
                      <a:rPr lang="en-IN" baseline="0"/>
                      <a:t>, </a:t>
                    </a:r>
                    <a:fld id="{A90603BB-2F76-4823-8E77-9B627AE75B18}" type="CATEGORYNAME">
                      <a:rPr lang="en-IN" baseline="0"/>
                      <a:pPr/>
                      <a:t>[CATEGORY NAME]</a:t>
                    </a:fld>
                    <a:r>
                      <a:rPr lang="en-IN" baseline="0"/>
                      <a:t>, </a:t>
                    </a:r>
                    <a:fld id="{6E2F138C-92A2-4233-AD3F-477FD4D5ADC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5AB5-4C11-84F1-7E1260F58F7D}"/>
                </c:ext>
              </c:extLst>
            </c:dLbl>
            <c:dLbl>
              <c:idx val="69"/>
              <c:tx>
                <c:rich>
                  <a:bodyPr/>
                  <a:lstStyle/>
                  <a:p>
                    <a:fld id="{989AFBC5-2202-4413-8095-D8123759C2BE}" type="CELLRANGE">
                      <a:rPr lang="en-IN"/>
                      <a:pPr/>
                      <a:t>[CELLRANGE]</a:t>
                    </a:fld>
                    <a:r>
                      <a:rPr lang="en-IN" baseline="0"/>
                      <a:t>, </a:t>
                    </a:r>
                    <a:fld id="{75C67EB2-BD4F-4493-A6C2-37A6FB8A265F}" type="CATEGORYNAME">
                      <a:rPr lang="en-IN" baseline="0"/>
                      <a:pPr/>
                      <a:t>[CATEGORY NAME]</a:t>
                    </a:fld>
                    <a:r>
                      <a:rPr lang="en-IN" baseline="0"/>
                      <a:t>, </a:t>
                    </a:r>
                    <a:fld id="{00588A20-6801-4F1B-B695-FCEDA9D0461D}"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5AB5-4C11-84F1-7E1260F58F7D}"/>
                </c:ext>
              </c:extLst>
            </c:dLbl>
            <c:dLbl>
              <c:idx val="70"/>
              <c:tx>
                <c:rich>
                  <a:bodyPr/>
                  <a:lstStyle/>
                  <a:p>
                    <a:fld id="{D720DE8E-0BE7-4646-A935-7C11D831F1F9}" type="CELLRANGE">
                      <a:rPr lang="en-IN"/>
                      <a:pPr/>
                      <a:t>[CELLRANGE]</a:t>
                    </a:fld>
                    <a:r>
                      <a:rPr lang="en-IN" baseline="0"/>
                      <a:t>, </a:t>
                    </a:r>
                    <a:fld id="{81F664C8-253C-46FF-86FD-5E4819EFFF8F}" type="CATEGORYNAME">
                      <a:rPr lang="en-IN" baseline="0"/>
                      <a:pPr/>
                      <a:t>[CATEGORY NAME]</a:t>
                    </a:fld>
                    <a:r>
                      <a:rPr lang="en-IN" baseline="0"/>
                      <a:t>, </a:t>
                    </a:r>
                    <a:fld id="{88E6A547-CE9C-433F-8F11-1DB625D484AB}"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5AB5-4C11-84F1-7E1260F58F7D}"/>
                </c:ext>
              </c:extLst>
            </c:dLbl>
            <c:dLbl>
              <c:idx val="71"/>
              <c:tx>
                <c:rich>
                  <a:bodyPr/>
                  <a:lstStyle/>
                  <a:p>
                    <a:fld id="{6893E848-425F-494B-B442-1FFF5EAA8498}" type="CELLRANGE">
                      <a:rPr lang="en-IN"/>
                      <a:pPr/>
                      <a:t>[CELLRANGE]</a:t>
                    </a:fld>
                    <a:r>
                      <a:rPr lang="en-IN" baseline="0"/>
                      <a:t>, </a:t>
                    </a:r>
                    <a:fld id="{F9C3F972-2E3B-4C10-93A3-903E04CC59A7}" type="CATEGORYNAME">
                      <a:rPr lang="en-IN" baseline="0"/>
                      <a:pPr/>
                      <a:t>[CATEGORY NAME]</a:t>
                    </a:fld>
                    <a:r>
                      <a:rPr lang="en-IN" baseline="0"/>
                      <a:t>, </a:t>
                    </a:r>
                    <a:fld id="{2EB7E0E1-0A7A-45AE-8AD8-BAC08944A128}"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5AB5-4C11-84F1-7E1260F58F7D}"/>
                </c:ext>
              </c:extLst>
            </c:dLbl>
            <c:dLbl>
              <c:idx val="72"/>
              <c:tx>
                <c:rich>
                  <a:bodyPr/>
                  <a:lstStyle/>
                  <a:p>
                    <a:fld id="{96C3BDAB-E154-4867-A39C-87A2C6D2AF63}" type="CELLRANGE">
                      <a:rPr lang="en-IN"/>
                      <a:pPr/>
                      <a:t>[CELLRANGE]</a:t>
                    </a:fld>
                    <a:r>
                      <a:rPr lang="en-IN" baseline="0"/>
                      <a:t>, </a:t>
                    </a:r>
                    <a:fld id="{22E3F1BD-CF51-44B3-87EB-CE4676B979EE}" type="CATEGORYNAME">
                      <a:rPr lang="en-IN" baseline="0"/>
                      <a:pPr/>
                      <a:t>[CATEGORY NAME]</a:t>
                    </a:fld>
                    <a:r>
                      <a:rPr lang="en-IN" baseline="0"/>
                      <a:t>, </a:t>
                    </a:r>
                    <a:fld id="{113BE5F7-AF25-4C28-8D15-7A0129794A5E}"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5AB5-4C11-84F1-7E1260F58F7D}"/>
                </c:ext>
              </c:extLst>
            </c:dLbl>
            <c:dLbl>
              <c:idx val="73"/>
              <c:tx>
                <c:rich>
                  <a:bodyPr/>
                  <a:lstStyle/>
                  <a:p>
                    <a:fld id="{69C8B64B-5023-4C6E-898F-CAB71F7C4235}" type="CELLRANGE">
                      <a:rPr lang="en-IN"/>
                      <a:pPr/>
                      <a:t>[CELLRANGE]</a:t>
                    </a:fld>
                    <a:r>
                      <a:rPr lang="en-IN" baseline="0"/>
                      <a:t>, </a:t>
                    </a:r>
                    <a:fld id="{2175B7E2-8BA1-486F-B3A6-38F4485BCC4B}" type="CATEGORYNAME">
                      <a:rPr lang="en-IN" baseline="0"/>
                      <a:pPr/>
                      <a:t>[CATEGORY NAME]</a:t>
                    </a:fld>
                    <a:r>
                      <a:rPr lang="en-IN" baseline="0"/>
                      <a:t>, </a:t>
                    </a:r>
                    <a:fld id="{237AF1B0-D1F8-4A10-958B-C8D835AEDD73}"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5AB5-4C11-84F1-7E1260F58F7D}"/>
                </c:ext>
              </c:extLst>
            </c:dLbl>
            <c:dLbl>
              <c:idx val="74"/>
              <c:tx>
                <c:rich>
                  <a:bodyPr/>
                  <a:lstStyle/>
                  <a:p>
                    <a:fld id="{CB7D2021-8C49-4C6B-8171-0B6875C94930}" type="CELLRANGE">
                      <a:rPr lang="en-IN"/>
                      <a:pPr/>
                      <a:t>[CELLRANGE]</a:t>
                    </a:fld>
                    <a:r>
                      <a:rPr lang="en-IN" baseline="0"/>
                      <a:t>, </a:t>
                    </a:r>
                    <a:fld id="{B749E14B-7B5F-478F-8B21-74B38C8523F5}" type="CATEGORYNAME">
                      <a:rPr lang="en-IN" baseline="0"/>
                      <a:pPr/>
                      <a:t>[CATEGORY NAME]</a:t>
                    </a:fld>
                    <a:r>
                      <a:rPr lang="en-IN" baseline="0"/>
                      <a:t>, </a:t>
                    </a:r>
                    <a:fld id="{468FEAB0-90DF-4CB0-B55D-BF7D58AC2EAE}"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5AB5-4C11-84F1-7E1260F58F7D}"/>
                </c:ext>
              </c:extLst>
            </c:dLbl>
            <c:dLbl>
              <c:idx val="75"/>
              <c:tx>
                <c:rich>
                  <a:bodyPr/>
                  <a:lstStyle/>
                  <a:p>
                    <a:fld id="{F2A38187-96AF-464C-81F4-BDB479390CD0}" type="CELLRANGE">
                      <a:rPr lang="en-IN"/>
                      <a:pPr/>
                      <a:t>[CELLRANGE]</a:t>
                    </a:fld>
                    <a:r>
                      <a:rPr lang="en-IN" baseline="0"/>
                      <a:t>, </a:t>
                    </a:r>
                    <a:fld id="{55F0B0E3-65F5-4E5A-B418-7889397AEF34}" type="CATEGORYNAME">
                      <a:rPr lang="en-IN" baseline="0"/>
                      <a:pPr/>
                      <a:t>[CATEGORY NAME]</a:t>
                    </a:fld>
                    <a:r>
                      <a:rPr lang="en-IN" baseline="0"/>
                      <a:t>, </a:t>
                    </a:r>
                    <a:fld id="{587BF299-07A8-4CF4-9468-C6D005B2A1E6}"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5AB5-4C11-84F1-7E1260F58F7D}"/>
                </c:ext>
              </c:extLst>
            </c:dLbl>
            <c:dLbl>
              <c:idx val="76"/>
              <c:tx>
                <c:rich>
                  <a:bodyPr/>
                  <a:lstStyle/>
                  <a:p>
                    <a:fld id="{4D0880AF-48AC-451A-9043-18EDDFC34816}" type="CELLRANGE">
                      <a:rPr lang="en-IN"/>
                      <a:pPr/>
                      <a:t>[CELLRANGE]</a:t>
                    </a:fld>
                    <a:r>
                      <a:rPr lang="en-IN" baseline="0"/>
                      <a:t>, </a:t>
                    </a:r>
                    <a:fld id="{C6FE39DA-123F-4E00-938C-2DB5835006A0}" type="CATEGORYNAME">
                      <a:rPr lang="en-IN" baseline="0"/>
                      <a:pPr/>
                      <a:t>[CATEGORY NAME]</a:t>
                    </a:fld>
                    <a:r>
                      <a:rPr lang="en-IN" baseline="0"/>
                      <a:t>, </a:t>
                    </a:r>
                    <a:fld id="{08D32DEC-CB73-48F7-B2DF-87FA576681A6}"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5AB5-4C11-84F1-7E1260F58F7D}"/>
                </c:ext>
              </c:extLst>
            </c:dLbl>
            <c:dLbl>
              <c:idx val="77"/>
              <c:tx>
                <c:rich>
                  <a:bodyPr/>
                  <a:lstStyle/>
                  <a:p>
                    <a:fld id="{C9EA10DB-946D-4137-BFD6-D5102986ABE8}" type="CELLRANGE">
                      <a:rPr lang="en-IN"/>
                      <a:pPr/>
                      <a:t>[CELLRANGE]</a:t>
                    </a:fld>
                    <a:r>
                      <a:rPr lang="en-IN" baseline="0"/>
                      <a:t>, </a:t>
                    </a:r>
                    <a:fld id="{323B1314-2965-4C7F-8AAD-6850CE8CD59E}" type="CATEGORYNAME">
                      <a:rPr lang="en-IN" baseline="0"/>
                      <a:pPr/>
                      <a:t>[CATEGORY NAME]</a:t>
                    </a:fld>
                    <a:r>
                      <a:rPr lang="en-IN" baseline="0"/>
                      <a:t>, </a:t>
                    </a:r>
                    <a:fld id="{9BF5C328-5D11-4382-9BD7-C6E7114C6A6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5AB5-4C11-84F1-7E1260F58F7D}"/>
                </c:ext>
              </c:extLst>
            </c:dLbl>
            <c:dLbl>
              <c:idx val="78"/>
              <c:tx>
                <c:rich>
                  <a:bodyPr/>
                  <a:lstStyle/>
                  <a:p>
                    <a:fld id="{86ABF1D4-9571-4C90-BA16-45D2C0C87A44}" type="CELLRANGE">
                      <a:rPr lang="en-IN"/>
                      <a:pPr/>
                      <a:t>[CELLRANGE]</a:t>
                    </a:fld>
                    <a:r>
                      <a:rPr lang="en-IN" baseline="0"/>
                      <a:t>, </a:t>
                    </a:r>
                    <a:fld id="{F3C38246-947C-420E-AF67-178D936D7742}" type="CATEGORYNAME">
                      <a:rPr lang="en-IN" baseline="0"/>
                      <a:pPr/>
                      <a:t>[CATEGORY NAME]</a:t>
                    </a:fld>
                    <a:r>
                      <a:rPr lang="en-IN" baseline="0"/>
                      <a:t>, </a:t>
                    </a:r>
                    <a:fld id="{99F2DFEA-41EE-43FA-A483-74830DD021F4}"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5AB5-4C11-84F1-7E1260F58F7D}"/>
                </c:ext>
              </c:extLst>
            </c:dLbl>
            <c:dLbl>
              <c:idx val="79"/>
              <c:tx>
                <c:rich>
                  <a:bodyPr/>
                  <a:lstStyle/>
                  <a:p>
                    <a:fld id="{9A0E723F-F332-40D6-81AB-9D9482880BBC}" type="CELLRANGE">
                      <a:rPr lang="en-IN"/>
                      <a:pPr/>
                      <a:t>[CELLRANGE]</a:t>
                    </a:fld>
                    <a:r>
                      <a:rPr lang="en-IN" baseline="0"/>
                      <a:t>, </a:t>
                    </a:r>
                    <a:fld id="{87B6E53F-BA11-499A-976E-6EC090442490}" type="CATEGORYNAME">
                      <a:rPr lang="en-IN" baseline="0"/>
                      <a:pPr/>
                      <a:t>[CATEGORY NAME]</a:t>
                    </a:fld>
                    <a:r>
                      <a:rPr lang="en-IN" baseline="0"/>
                      <a:t>, </a:t>
                    </a:r>
                    <a:fld id="{8B3C2176-8290-442C-9FD4-80856B2AB5D5}"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5AB5-4C11-84F1-7E1260F58F7D}"/>
                </c:ext>
              </c:extLst>
            </c:dLbl>
            <c:dLbl>
              <c:idx val="80"/>
              <c:tx>
                <c:rich>
                  <a:bodyPr/>
                  <a:lstStyle/>
                  <a:p>
                    <a:fld id="{2FDB4910-454E-43C5-8890-41258A25720C}" type="CELLRANGE">
                      <a:rPr lang="en-IN"/>
                      <a:pPr/>
                      <a:t>[CELLRANGE]</a:t>
                    </a:fld>
                    <a:r>
                      <a:rPr lang="en-IN" baseline="0"/>
                      <a:t>, </a:t>
                    </a:r>
                    <a:fld id="{7BA504A6-8BA9-4058-A992-97698D39F370}" type="CATEGORYNAME">
                      <a:rPr lang="en-IN" baseline="0"/>
                      <a:pPr/>
                      <a:t>[CATEGORY NAME]</a:t>
                    </a:fld>
                    <a:r>
                      <a:rPr lang="en-IN" baseline="0"/>
                      <a:t>, </a:t>
                    </a:r>
                    <a:fld id="{63777B35-C289-479E-A91C-8B0E5B4CCC3A}"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5AB5-4C11-84F1-7E1260F58F7D}"/>
                </c:ext>
              </c:extLst>
            </c:dLbl>
            <c:dLbl>
              <c:idx val="81"/>
              <c:tx>
                <c:rich>
                  <a:bodyPr/>
                  <a:lstStyle/>
                  <a:p>
                    <a:fld id="{EFC5CA48-ACD0-45E6-8A11-432AC149FA1B}" type="CELLRANGE">
                      <a:rPr lang="en-IN"/>
                      <a:pPr/>
                      <a:t>[CELLRANGE]</a:t>
                    </a:fld>
                    <a:r>
                      <a:rPr lang="en-IN" baseline="0"/>
                      <a:t>, </a:t>
                    </a:r>
                    <a:fld id="{E001EB6F-BB55-4B29-A845-4DF3AA85FF7C}" type="CATEGORYNAME">
                      <a:rPr lang="en-IN" baseline="0"/>
                      <a:pPr/>
                      <a:t>[CATEGORY NAME]</a:t>
                    </a:fld>
                    <a:r>
                      <a:rPr lang="en-IN" baseline="0"/>
                      <a:t>, </a:t>
                    </a:r>
                    <a:fld id="{9E01E0C6-7C5D-49D6-AF95-394A52808C73}"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5AB5-4C11-84F1-7E1260F58F7D}"/>
                </c:ext>
              </c:extLst>
            </c:dLbl>
            <c:dLbl>
              <c:idx val="82"/>
              <c:tx>
                <c:rich>
                  <a:bodyPr/>
                  <a:lstStyle/>
                  <a:p>
                    <a:fld id="{D1D9A25C-D0D7-4915-A609-2CB2D065BFC8}" type="CELLRANGE">
                      <a:rPr lang="en-IN"/>
                      <a:pPr/>
                      <a:t>[CELLRANGE]</a:t>
                    </a:fld>
                    <a:r>
                      <a:rPr lang="en-IN" baseline="0"/>
                      <a:t>, </a:t>
                    </a:r>
                    <a:fld id="{AFD1E9DE-0590-4BE0-A822-DB75A3DA6D60}" type="CATEGORYNAME">
                      <a:rPr lang="en-IN" baseline="0"/>
                      <a:pPr/>
                      <a:t>[CATEGORY NAME]</a:t>
                    </a:fld>
                    <a:r>
                      <a:rPr lang="en-IN" baseline="0"/>
                      <a:t>, </a:t>
                    </a:r>
                    <a:fld id="{77D6790B-C989-45DF-A0AB-3B1EC8504B4F}"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5AB5-4C11-84F1-7E1260F58F7D}"/>
                </c:ext>
              </c:extLst>
            </c:dLbl>
            <c:dLbl>
              <c:idx val="83"/>
              <c:tx>
                <c:rich>
                  <a:bodyPr/>
                  <a:lstStyle/>
                  <a:p>
                    <a:fld id="{BEA71913-64F1-42CA-A872-33262EC57E81}" type="CELLRANGE">
                      <a:rPr lang="en-IN"/>
                      <a:pPr/>
                      <a:t>[CELLRANGE]</a:t>
                    </a:fld>
                    <a:r>
                      <a:rPr lang="en-IN" baseline="0"/>
                      <a:t>, </a:t>
                    </a:r>
                    <a:fld id="{AEBBFDF0-1DEB-4EF0-A065-890BEE127CC3}" type="CATEGORYNAME">
                      <a:rPr lang="en-IN" baseline="0"/>
                      <a:pPr/>
                      <a:t>[CATEGORY NAME]</a:t>
                    </a:fld>
                    <a:r>
                      <a:rPr lang="en-IN" baseline="0"/>
                      <a:t>, </a:t>
                    </a:r>
                    <a:fld id="{0900BDCD-0DAF-405D-97B6-489B8461D3D4}"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5AB5-4C11-84F1-7E1260F58F7D}"/>
                </c:ext>
              </c:extLst>
            </c:dLbl>
            <c:dLbl>
              <c:idx val="84"/>
              <c:tx>
                <c:rich>
                  <a:bodyPr/>
                  <a:lstStyle/>
                  <a:p>
                    <a:fld id="{3AD16E8B-5B33-4BAC-8B89-AB4F05C5990C}" type="CELLRANGE">
                      <a:rPr lang="en-IN"/>
                      <a:pPr/>
                      <a:t>[CELLRANGE]</a:t>
                    </a:fld>
                    <a:r>
                      <a:rPr lang="en-IN" baseline="0"/>
                      <a:t>, </a:t>
                    </a:r>
                    <a:fld id="{F274FDF3-9FB5-432A-997D-8D6089DDBF2E}" type="CATEGORYNAME">
                      <a:rPr lang="en-IN" baseline="0"/>
                      <a:pPr/>
                      <a:t>[CATEGORY NAME]</a:t>
                    </a:fld>
                    <a:r>
                      <a:rPr lang="en-IN" baseline="0"/>
                      <a:t>, </a:t>
                    </a:r>
                    <a:fld id="{B08CFEF0-F4F2-4B94-9723-56741B6DCEB6}"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5AB5-4C11-84F1-7E1260F58F7D}"/>
                </c:ext>
              </c:extLst>
            </c:dLbl>
            <c:dLbl>
              <c:idx val="85"/>
              <c:tx>
                <c:rich>
                  <a:bodyPr/>
                  <a:lstStyle/>
                  <a:p>
                    <a:fld id="{3E9BD4AC-FF41-4742-9FB9-FF3A52CEDE08}" type="CELLRANGE">
                      <a:rPr lang="en-IN"/>
                      <a:pPr/>
                      <a:t>[CELLRANGE]</a:t>
                    </a:fld>
                    <a:r>
                      <a:rPr lang="en-IN" baseline="0"/>
                      <a:t>, </a:t>
                    </a:r>
                    <a:fld id="{5675923E-3113-4FD3-9357-F79018593824}" type="CATEGORYNAME">
                      <a:rPr lang="en-IN" baseline="0"/>
                      <a:pPr/>
                      <a:t>[CATEGORY NAME]</a:t>
                    </a:fld>
                    <a:r>
                      <a:rPr lang="en-IN" baseline="0"/>
                      <a:t>, </a:t>
                    </a:r>
                    <a:fld id="{AD63DAA3-976E-4B37-BD98-D7ECB06925BD}"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5AB5-4C11-84F1-7E1260F58F7D}"/>
                </c:ext>
              </c:extLst>
            </c:dLbl>
            <c:dLbl>
              <c:idx val="86"/>
              <c:tx>
                <c:rich>
                  <a:bodyPr/>
                  <a:lstStyle/>
                  <a:p>
                    <a:fld id="{30146458-E3CA-4272-928D-D32F29E79B5C}" type="CELLRANGE">
                      <a:rPr lang="en-IN"/>
                      <a:pPr/>
                      <a:t>[CELLRANGE]</a:t>
                    </a:fld>
                    <a:r>
                      <a:rPr lang="en-IN" baseline="0"/>
                      <a:t>, </a:t>
                    </a:r>
                    <a:fld id="{3BF3A1FB-E0A0-4931-B2D4-391698EDAFD5}" type="CATEGORYNAME">
                      <a:rPr lang="en-IN" baseline="0"/>
                      <a:pPr/>
                      <a:t>[CATEGORY NAME]</a:t>
                    </a:fld>
                    <a:r>
                      <a:rPr lang="en-IN" baseline="0"/>
                      <a:t>, </a:t>
                    </a:r>
                    <a:fld id="{BD8A6E81-0FA2-49C8-B789-33260EDC312A}"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5AB5-4C11-84F1-7E1260F58F7D}"/>
                </c:ext>
              </c:extLst>
            </c:dLbl>
            <c:dLbl>
              <c:idx val="87"/>
              <c:tx>
                <c:rich>
                  <a:bodyPr/>
                  <a:lstStyle/>
                  <a:p>
                    <a:fld id="{7FA619A8-D883-4C18-83C5-FFCE7DAB580C}" type="CELLRANGE">
                      <a:rPr lang="en-IN"/>
                      <a:pPr/>
                      <a:t>[CELLRANGE]</a:t>
                    </a:fld>
                    <a:r>
                      <a:rPr lang="en-IN" baseline="0"/>
                      <a:t>, </a:t>
                    </a:r>
                    <a:fld id="{718603FF-8B66-41E4-937C-C2FCD537F902}" type="CATEGORYNAME">
                      <a:rPr lang="en-IN" baseline="0"/>
                      <a:pPr/>
                      <a:t>[CATEGORY NAME]</a:t>
                    </a:fld>
                    <a:r>
                      <a:rPr lang="en-IN" baseline="0"/>
                      <a:t>, </a:t>
                    </a:r>
                    <a:fld id="{3E68CDA9-9B9C-4DF4-9878-0F2579813C8E}"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5AB5-4C11-84F1-7E1260F58F7D}"/>
                </c:ext>
              </c:extLst>
            </c:dLbl>
            <c:dLbl>
              <c:idx val="88"/>
              <c:tx>
                <c:rich>
                  <a:bodyPr/>
                  <a:lstStyle/>
                  <a:p>
                    <a:fld id="{22EB0D42-690F-420A-A6ED-4E7C460D1C78}" type="CELLRANGE">
                      <a:rPr lang="en-IN"/>
                      <a:pPr/>
                      <a:t>[CELLRANGE]</a:t>
                    </a:fld>
                    <a:r>
                      <a:rPr lang="en-IN" baseline="0"/>
                      <a:t>, </a:t>
                    </a:r>
                    <a:fld id="{7F28060A-702E-4845-B190-C7DBEB9C8147}" type="CATEGORYNAME">
                      <a:rPr lang="en-IN" baseline="0"/>
                      <a:pPr/>
                      <a:t>[CATEGORY NAME]</a:t>
                    </a:fld>
                    <a:r>
                      <a:rPr lang="en-IN" baseline="0"/>
                      <a:t>, </a:t>
                    </a:r>
                    <a:fld id="{A24DC583-6FE0-487F-B6F6-C65F35D170FB}"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5AB5-4C11-84F1-7E1260F58F7D}"/>
                </c:ext>
              </c:extLst>
            </c:dLbl>
            <c:dLbl>
              <c:idx val="89"/>
              <c:tx>
                <c:rich>
                  <a:bodyPr/>
                  <a:lstStyle/>
                  <a:p>
                    <a:fld id="{4BDFB4B1-2F29-4D7F-AFFB-628F9ABAD438}" type="CELLRANGE">
                      <a:rPr lang="en-IN"/>
                      <a:pPr/>
                      <a:t>[CELLRANGE]</a:t>
                    </a:fld>
                    <a:r>
                      <a:rPr lang="en-IN" baseline="0"/>
                      <a:t>, </a:t>
                    </a:r>
                    <a:fld id="{F74E22E4-0838-411F-A0EE-C8CD4C7C71BA}" type="CATEGORYNAME">
                      <a:rPr lang="en-IN" baseline="0"/>
                      <a:pPr/>
                      <a:t>[CATEGORY NAME]</a:t>
                    </a:fld>
                    <a:r>
                      <a:rPr lang="en-IN" baseline="0"/>
                      <a:t>, </a:t>
                    </a:r>
                    <a:fld id="{1A2E9DD4-CC9A-4BC9-B677-B6547531E3C3}"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5AB5-4C11-84F1-7E1260F58F7D}"/>
                </c:ext>
              </c:extLst>
            </c:dLbl>
            <c:dLbl>
              <c:idx val="90"/>
              <c:tx>
                <c:rich>
                  <a:bodyPr/>
                  <a:lstStyle/>
                  <a:p>
                    <a:fld id="{968CACFC-A522-407B-9FBF-60BC6AB7CB37}" type="CELLRANGE">
                      <a:rPr lang="en-IN"/>
                      <a:pPr/>
                      <a:t>[CELLRANGE]</a:t>
                    </a:fld>
                    <a:r>
                      <a:rPr lang="en-IN" baseline="0"/>
                      <a:t>, </a:t>
                    </a:r>
                    <a:fld id="{78DB4557-02AD-4B98-B808-D8812514B070}" type="CATEGORYNAME">
                      <a:rPr lang="en-IN" baseline="0"/>
                      <a:pPr/>
                      <a:t>[CATEGORY NAME]</a:t>
                    </a:fld>
                    <a:r>
                      <a:rPr lang="en-IN" baseline="0"/>
                      <a:t>, </a:t>
                    </a:r>
                    <a:fld id="{E7854A61-B4EF-46F3-9679-2A186BA74D48}"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5AB5-4C11-84F1-7E1260F58F7D}"/>
                </c:ext>
              </c:extLst>
            </c:dLbl>
            <c:dLbl>
              <c:idx val="91"/>
              <c:tx>
                <c:rich>
                  <a:bodyPr/>
                  <a:lstStyle/>
                  <a:p>
                    <a:fld id="{90244FF0-C6DB-4B60-AA9D-14F34D004BDA}" type="CELLRANGE">
                      <a:rPr lang="en-IN"/>
                      <a:pPr/>
                      <a:t>[CELLRANGE]</a:t>
                    </a:fld>
                    <a:r>
                      <a:rPr lang="en-IN" baseline="0"/>
                      <a:t>, </a:t>
                    </a:r>
                    <a:fld id="{2743B44A-5B4C-4905-9549-33B1F028C8EE}" type="CATEGORYNAME">
                      <a:rPr lang="en-IN" baseline="0"/>
                      <a:pPr/>
                      <a:t>[CATEGORY NAME]</a:t>
                    </a:fld>
                    <a:r>
                      <a:rPr lang="en-IN" baseline="0"/>
                      <a:t>, </a:t>
                    </a:r>
                    <a:fld id="{11097BB8-CA1B-4257-9CE2-E686F70FDBD6}"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5AB5-4C11-84F1-7E1260F58F7D}"/>
                </c:ext>
              </c:extLst>
            </c:dLbl>
            <c:dLbl>
              <c:idx val="92"/>
              <c:tx>
                <c:rich>
                  <a:bodyPr/>
                  <a:lstStyle/>
                  <a:p>
                    <a:fld id="{54CF0668-9B81-494E-B7B2-C0239AE8BCB6}" type="CELLRANGE">
                      <a:rPr lang="en-IN"/>
                      <a:pPr/>
                      <a:t>[CELLRANGE]</a:t>
                    </a:fld>
                    <a:r>
                      <a:rPr lang="en-IN" baseline="0"/>
                      <a:t>, </a:t>
                    </a:r>
                    <a:fld id="{EF92027B-8E33-4CEC-AD2A-D9D1A789C1D7}" type="CATEGORYNAME">
                      <a:rPr lang="en-IN" baseline="0"/>
                      <a:pPr/>
                      <a:t>[CATEGORY NAME]</a:t>
                    </a:fld>
                    <a:r>
                      <a:rPr lang="en-IN" baseline="0"/>
                      <a:t>, </a:t>
                    </a:r>
                    <a:fld id="{B5E71D89-3674-4BE8-A13F-9AAFB9783C13}"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5AB5-4C11-84F1-7E1260F58F7D}"/>
                </c:ext>
              </c:extLst>
            </c:dLbl>
            <c:spPr>
              <a:solidFill>
                <a:srgbClr val="FFFFFF"/>
              </a:solidFill>
              <a:ln>
                <a:solidFill>
                  <a:srgbClr val="000000">
                    <a:lumMod val="25000"/>
                    <a:lumOff val="75000"/>
                  </a:srgbClr>
                </a:solidFill>
              </a:ln>
              <a:effectLst/>
            </c:spPr>
            <c:txPr>
              <a:bodyPr rot="0" spcFirstLastPara="1" vertOverflow="overflow" horzOverflow="overflow" vert="horz" wrap="square" lIns="39600" tIns="36000" rIns="38100" bIns="36000" anchor="ctr" anchorCtr="1">
                <a:spAutoFit/>
              </a:bodyPr>
              <a:lstStyle/>
              <a:p>
                <a:pPr>
                  <a:defRPr sz="105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1"/>
                <c15:leaderLines>
                  <c:spPr>
                    <a:ln w="9525">
                      <a:solidFill>
                        <a:schemeClr val="tx2">
                          <a:lumMod val="35000"/>
                          <a:lumOff val="65000"/>
                        </a:schemeClr>
                      </a:solidFill>
                    </a:ln>
                    <a:effectLst/>
                  </c:spPr>
                </c15:leaderLines>
              </c:ext>
            </c:extLst>
          </c:dLbls>
          <c:val>
            <c:numRef>
              <c:f>'Dynamic Data-RE'!$G$9:$G$101</c:f>
              <c:numCache>
                <c:formatCode>0.00</c:formatCode>
                <c:ptCount val="93"/>
                <c:pt idx="0" formatCode="General">
                  <c:v>0.86963500000000005</c:v>
                </c:pt>
                <c:pt idx="1">
                  <c:v>0.93711100756847376</c:v>
                </c:pt>
                <c:pt idx="2" formatCode="General">
                  <c:v>0</c:v>
                </c:pt>
                <c:pt idx="3" formatCode="0.0000">
                  <c:v>1.029935</c:v>
                </c:pt>
                <c:pt idx="4" formatCode="0.0000">
                  <c:v>1.1000000000000001</c:v>
                </c:pt>
                <c:pt idx="5" formatCode="0.0000">
                  <c:v>9.9999999999999995E-7</c:v>
                </c:pt>
                <c:pt idx="6" formatCode="0.0000">
                  <c:v>1.1000000000004551</c:v>
                </c:pt>
                <c:pt idx="7" formatCode="General">
                  <c:v>0</c:v>
                </c:pt>
                <c:pt idx="8" formatCode="General">
                  <c:v>0.6</c:v>
                </c:pt>
                <c:pt idx="9" formatCode="0.0000">
                  <c:v>0.586696</c:v>
                </c:pt>
                <c:pt idx="10" formatCode="General">
                  <c:v>0</c:v>
                </c:pt>
                <c:pt idx="11" formatCode="General">
                  <c:v>0</c:v>
                </c:pt>
                <c:pt idx="12" formatCode="General">
                  <c:v>0</c:v>
                </c:pt>
                <c:pt idx="13" formatCode="General">
                  <c:v>0</c:v>
                </c:pt>
                <c:pt idx="14" formatCode="0.0000">
                  <c:v>42.294609999999999</c:v>
                </c:pt>
                <c:pt idx="15" formatCode="0.0000">
                  <c:v>1.755137179194834</c:v>
                </c:pt>
                <c:pt idx="16" formatCode="0.0000">
                  <c:v>5.2422000000000003E-2</c:v>
                </c:pt>
                <c:pt idx="17" formatCode="0.0000">
                  <c:v>0.28768100000000002</c:v>
                </c:pt>
                <c:pt idx="18" formatCode="0.0000">
                  <c:v>0.54343200000000003</c:v>
                </c:pt>
                <c:pt idx="19" formatCode="0.0000">
                  <c:v>0.61739937580872239</c:v>
                </c:pt>
                <c:pt idx="20" formatCode="0.0000">
                  <c:v>4.9199700000000002</c:v>
                </c:pt>
                <c:pt idx="21" formatCode="0.0000">
                  <c:v>0.62619800000000003</c:v>
                </c:pt>
                <c:pt idx="22" formatCode="0.0000">
                  <c:v>0.68438500000000002</c:v>
                </c:pt>
                <c:pt idx="23" formatCode="0.0000">
                  <c:v>0.84745700000000002</c:v>
                </c:pt>
                <c:pt idx="24" formatCode="0.0000">
                  <c:v>1.098712379321358</c:v>
                </c:pt>
                <c:pt idx="25" formatCode="0.0000">
                  <c:v>67.480699999999999</c:v>
                </c:pt>
                <c:pt idx="26" formatCode="0.0000">
                  <c:v>0.586696</c:v>
                </c:pt>
                <c:pt idx="27" formatCode="General">
                  <c:v>0</c:v>
                </c:pt>
                <c:pt idx="28" formatCode="General">
                  <c:v>0</c:v>
                </c:pt>
                <c:pt idx="29" formatCode="General">
                  <c:v>0</c:v>
                </c:pt>
                <c:pt idx="30" formatCode="General">
                  <c:v>0</c:v>
                </c:pt>
                <c:pt idx="31" formatCode="0.0000">
                  <c:v>51.014110000000002</c:v>
                </c:pt>
                <c:pt idx="32" formatCode="0.0000">
                  <c:v>1.529767063188707</c:v>
                </c:pt>
                <c:pt idx="33" formatCode="0.0000">
                  <c:v>1.2269E-2</c:v>
                </c:pt>
                <c:pt idx="34" formatCode="0.0000">
                  <c:v>0.24295600000000001</c:v>
                </c:pt>
                <c:pt idx="35" formatCode="0.0000">
                  <c:v>0.27635700000000002</c:v>
                </c:pt>
                <c:pt idx="36" formatCode="0.0000">
                  <c:v>0.36975011665312563</c:v>
                </c:pt>
                <c:pt idx="37" formatCode="0.0000">
                  <c:v>4.9184299999999999</c:v>
                </c:pt>
                <c:pt idx="38" formatCode="0.0000">
                  <c:v>0.248249</c:v>
                </c:pt>
                <c:pt idx="39" formatCode="0.0000">
                  <c:v>0.31263299999999999</c:v>
                </c:pt>
                <c:pt idx="40" formatCode="0.0000">
                  <c:v>0.96130300000000002</c:v>
                </c:pt>
                <c:pt idx="41" formatCode="0.0000">
                  <c:v>1.0122105853200709</c:v>
                </c:pt>
                <c:pt idx="42" formatCode="0.0000">
                  <c:v>67.495999999999995</c:v>
                </c:pt>
                <c:pt idx="43" formatCode="0.0000">
                  <c:v>0.27495000000000003</c:v>
                </c:pt>
                <c:pt idx="44" formatCode="General">
                  <c:v>0</c:v>
                </c:pt>
                <c:pt idx="45" formatCode="General">
                  <c:v>0</c:v>
                </c:pt>
                <c:pt idx="46" formatCode="General">
                  <c:v>0</c:v>
                </c:pt>
                <c:pt idx="47" formatCode="General">
                  <c:v>0</c:v>
                </c:pt>
                <c:pt idx="48" formatCode="0.0000">
                  <c:v>37.798000000000002</c:v>
                </c:pt>
                <c:pt idx="49" formatCode="General">
                  <c:v>0</c:v>
                </c:pt>
                <c:pt idx="50" formatCode="General">
                  <c:v>0</c:v>
                </c:pt>
                <c:pt idx="51" formatCode="General">
                  <c:v>0</c:v>
                </c:pt>
                <c:pt idx="52" formatCode="General">
                  <c:v>0</c:v>
                </c:pt>
                <c:pt idx="53" formatCode="General">
                  <c:v>0</c:v>
                </c:pt>
                <c:pt idx="54" formatCode="General">
                  <c:v>0</c:v>
                </c:pt>
                <c:pt idx="55" formatCode="General">
                  <c:v>0</c:v>
                </c:pt>
                <c:pt idx="56" formatCode="General">
                  <c:v>0</c:v>
                </c:pt>
                <c:pt idx="57" formatCode="General">
                  <c:v>0</c:v>
                </c:pt>
                <c:pt idx="58" formatCode="General">
                  <c:v>0</c:v>
                </c:pt>
                <c:pt idx="59" formatCode="General">
                  <c:v>0</c:v>
                </c:pt>
                <c:pt idx="60" formatCode="General">
                  <c:v>0</c:v>
                </c:pt>
                <c:pt idx="61" formatCode="General">
                  <c:v>0</c:v>
                </c:pt>
                <c:pt idx="62" formatCode="General">
                  <c:v>0</c:v>
                </c:pt>
                <c:pt idx="63" formatCode="General">
                  <c:v>0</c:v>
                </c:pt>
                <c:pt idx="64" formatCode="General">
                  <c:v>1</c:v>
                </c:pt>
                <c:pt idx="65" formatCode="General">
                  <c:v>0</c:v>
                </c:pt>
                <c:pt idx="66" formatCode="General">
                  <c:v>0</c:v>
                </c:pt>
                <c:pt idx="67" formatCode="General">
                  <c:v>0</c:v>
                </c:pt>
                <c:pt idx="68" formatCode="General">
                  <c:v>0</c:v>
                </c:pt>
                <c:pt idx="69" formatCode="General">
                  <c:v>0</c:v>
                </c:pt>
                <c:pt idx="70" formatCode="General">
                  <c:v>0</c:v>
                </c:pt>
                <c:pt idx="71" formatCode="General">
                  <c:v>0</c:v>
                </c:pt>
                <c:pt idx="72" formatCode="General">
                  <c:v>0</c:v>
                </c:pt>
                <c:pt idx="73" formatCode="General">
                  <c:v>0</c:v>
                </c:pt>
                <c:pt idx="74" formatCode="General">
                  <c:v>0</c:v>
                </c:pt>
                <c:pt idx="75" formatCode="General">
                  <c:v>0</c:v>
                </c:pt>
                <c:pt idx="76" formatCode="General">
                  <c:v>0</c:v>
                </c:pt>
                <c:pt idx="77" formatCode="General">
                  <c:v>0</c:v>
                </c:pt>
                <c:pt idx="78" formatCode="General">
                  <c:v>0</c:v>
                </c:pt>
                <c:pt idx="79" formatCode="General">
                  <c:v>0</c:v>
                </c:pt>
                <c:pt idx="80" formatCode="General">
                  <c:v>1</c:v>
                </c:pt>
                <c:pt idx="81" formatCode="General">
                  <c:v>0</c:v>
                </c:pt>
                <c:pt idx="82" formatCode="General">
                  <c:v>0</c:v>
                </c:pt>
                <c:pt idx="83" formatCode="General">
                  <c:v>0</c:v>
                </c:pt>
                <c:pt idx="84" formatCode="General">
                  <c:v>0</c:v>
                </c:pt>
                <c:pt idx="85" formatCode="General">
                  <c:v>0</c:v>
                </c:pt>
                <c:pt idx="86" formatCode="General">
                  <c:v>0</c:v>
                </c:pt>
                <c:pt idx="87" formatCode="General">
                  <c:v>0</c:v>
                </c:pt>
                <c:pt idx="88" formatCode="General">
                  <c:v>0</c:v>
                </c:pt>
                <c:pt idx="89" formatCode="General">
                  <c:v>0</c:v>
                </c:pt>
                <c:pt idx="90" formatCode="General">
                  <c:v>0</c:v>
                </c:pt>
                <c:pt idx="91" formatCode="General">
                  <c:v>0</c:v>
                </c:pt>
                <c:pt idx="92" formatCode="General">
                  <c:v>0</c:v>
                </c:pt>
              </c:numCache>
            </c:numRef>
          </c:val>
          <c:extLst>
            <c:ext xmlns:c15="http://schemas.microsoft.com/office/drawing/2012/chart" uri="{02D57815-91ED-43cb-92C2-25804820EDAC}">
              <c15:datalabelsRange>
                <c15:f>'Dynamic Data-RE'!$C$9:$C$101</c15:f>
                <c15:dlblRangeCache>
                  <c:ptCount val="93"/>
                  <c:pt idx="0">
                    <c:v>V=15%</c:v>
                  </c:pt>
                  <c:pt idx="1">
                    <c:v>V=15%</c:v>
                  </c:pt>
                  <c:pt idx="2">
                    <c:v>V=15%</c:v>
                  </c:pt>
                  <c:pt idx="3">
                    <c:v>V=15%</c:v>
                  </c:pt>
                  <c:pt idx="4">
                    <c:v>V=15%</c:v>
                  </c:pt>
                  <c:pt idx="5">
                    <c:v>V=15%</c:v>
                  </c:pt>
                  <c:pt idx="6">
                    <c:v>V=15%</c:v>
                  </c:pt>
                  <c:pt idx="7">
                    <c:v>V=15%</c:v>
                  </c:pt>
                  <c:pt idx="8">
                    <c:v>V=15%</c:v>
                  </c:pt>
                  <c:pt idx="9">
                    <c:v>V=15%</c:v>
                  </c:pt>
                  <c:pt idx="10">
                    <c:v>V=15%</c:v>
                  </c:pt>
                  <c:pt idx="11">
                    <c:v>V=15%</c:v>
                  </c:pt>
                  <c:pt idx="12">
                    <c:v>V=15%</c:v>
                  </c:pt>
                  <c:pt idx="13">
                    <c:v>V=15%</c:v>
                  </c:pt>
                  <c:pt idx="14">
                    <c:v>V=15%</c:v>
                  </c:pt>
                  <c:pt idx="15">
                    <c:v>V=50%</c:v>
                  </c:pt>
                  <c:pt idx="16">
                    <c:v>V=50%</c:v>
                  </c:pt>
                  <c:pt idx="17">
                    <c:v>V=50%</c:v>
                  </c:pt>
                  <c:pt idx="18">
                    <c:v>V=50%</c:v>
                  </c:pt>
                  <c:pt idx="19">
                    <c:v>V=50%</c:v>
                  </c:pt>
                  <c:pt idx="20">
                    <c:v>V=50%</c:v>
                  </c:pt>
                  <c:pt idx="21">
                    <c:v>V=50%</c:v>
                  </c:pt>
                  <c:pt idx="22">
                    <c:v>V=50%</c:v>
                  </c:pt>
                  <c:pt idx="23">
                    <c:v>V=50%</c:v>
                  </c:pt>
                  <c:pt idx="24">
                    <c:v>V=50%</c:v>
                  </c:pt>
                  <c:pt idx="25">
                    <c:v>V=50%</c:v>
                  </c:pt>
                  <c:pt idx="26">
                    <c:v>V=50%</c:v>
                  </c:pt>
                  <c:pt idx="27">
                    <c:v>V=50%</c:v>
                  </c:pt>
                  <c:pt idx="28">
                    <c:v>V=50%</c:v>
                  </c:pt>
                  <c:pt idx="29">
                    <c:v>V=50%</c:v>
                  </c:pt>
                  <c:pt idx="30">
                    <c:v>V=50%</c:v>
                  </c:pt>
                  <c:pt idx="31">
                    <c:v>V=50%</c:v>
                  </c:pt>
                  <c:pt idx="32">
                    <c:v>V=85%</c:v>
                  </c:pt>
                  <c:pt idx="33">
                    <c:v>V=85%</c:v>
                  </c:pt>
                  <c:pt idx="34">
                    <c:v>V=85%</c:v>
                  </c:pt>
                  <c:pt idx="35">
                    <c:v>V=85%</c:v>
                  </c:pt>
                  <c:pt idx="36">
                    <c:v>V=85%</c:v>
                  </c:pt>
                  <c:pt idx="37">
                    <c:v>V=85%</c:v>
                  </c:pt>
                  <c:pt idx="38">
                    <c:v>V=85%</c:v>
                  </c:pt>
                  <c:pt idx="39">
                    <c:v>V=85%</c:v>
                  </c:pt>
                  <c:pt idx="40">
                    <c:v>V=85%</c:v>
                  </c:pt>
                  <c:pt idx="41">
                    <c:v>V=85%</c:v>
                  </c:pt>
                  <c:pt idx="42">
                    <c:v>V=85%</c:v>
                  </c:pt>
                  <c:pt idx="43">
                    <c:v>V=85%</c:v>
                  </c:pt>
                  <c:pt idx="44">
                    <c:v>V=85%</c:v>
                  </c:pt>
                  <c:pt idx="45">
                    <c:v>V=85%</c:v>
                  </c:pt>
                  <c:pt idx="46">
                    <c:v>V=85%</c:v>
                  </c:pt>
                  <c:pt idx="47">
                    <c:v>V=85%</c:v>
                  </c:pt>
                  <c:pt idx="48">
                    <c:v>V=85%</c:v>
                  </c:pt>
                  <c:pt idx="49">
                    <c:v>V=15%</c:v>
                  </c:pt>
                  <c:pt idx="50">
                    <c:v>V=15%</c:v>
                  </c:pt>
                  <c:pt idx="51">
                    <c:v>V=15%</c:v>
                  </c:pt>
                  <c:pt idx="52">
                    <c:v>V=15%</c:v>
                  </c:pt>
                  <c:pt idx="53">
                    <c:v>V=15%</c:v>
                  </c:pt>
                  <c:pt idx="54">
                    <c:v>V=15%</c:v>
                  </c:pt>
                  <c:pt idx="55">
                    <c:v>V=15%</c:v>
                  </c:pt>
                  <c:pt idx="56">
                    <c:v>V=15%</c:v>
                  </c:pt>
                  <c:pt idx="57">
                    <c:v>V=15%</c:v>
                  </c:pt>
                  <c:pt idx="58">
                    <c:v>V=15%</c:v>
                  </c:pt>
                  <c:pt idx="59">
                    <c:v>V=15%</c:v>
                  </c:pt>
                  <c:pt idx="60">
                    <c:v>V=15%</c:v>
                  </c:pt>
                  <c:pt idx="61">
                    <c:v>V=15%</c:v>
                  </c:pt>
                  <c:pt idx="62">
                    <c:v>V=15%</c:v>
                  </c:pt>
                  <c:pt idx="63">
                    <c:v>V=15%</c:v>
                  </c:pt>
                  <c:pt idx="64">
                    <c:v>V=15%</c:v>
                  </c:pt>
                  <c:pt idx="65">
                    <c:v>V=50%</c:v>
                  </c:pt>
                  <c:pt idx="66">
                    <c:v>V=50%</c:v>
                  </c:pt>
                  <c:pt idx="67">
                    <c:v>V=50%</c:v>
                  </c:pt>
                  <c:pt idx="68">
                    <c:v>V=50%</c:v>
                  </c:pt>
                  <c:pt idx="69">
                    <c:v>V=50%</c:v>
                  </c:pt>
                  <c:pt idx="70">
                    <c:v>V=50%</c:v>
                  </c:pt>
                  <c:pt idx="71">
                    <c:v>V=50%</c:v>
                  </c:pt>
                  <c:pt idx="72">
                    <c:v>V=50%</c:v>
                  </c:pt>
                  <c:pt idx="73">
                    <c:v>V=50%</c:v>
                  </c:pt>
                  <c:pt idx="74">
                    <c:v>V=50%</c:v>
                  </c:pt>
                  <c:pt idx="75">
                    <c:v>V=50%</c:v>
                  </c:pt>
                  <c:pt idx="76">
                    <c:v>V=50%</c:v>
                  </c:pt>
                  <c:pt idx="77">
                    <c:v>V=50%</c:v>
                  </c:pt>
                  <c:pt idx="78">
                    <c:v>V=50%</c:v>
                  </c:pt>
                  <c:pt idx="79">
                    <c:v>V=50%</c:v>
                  </c:pt>
                  <c:pt idx="80">
                    <c:v>V=50%</c:v>
                  </c:pt>
                  <c:pt idx="81">
                    <c:v>V=85%</c:v>
                  </c:pt>
                  <c:pt idx="82">
                    <c:v>V=85%</c:v>
                  </c:pt>
                  <c:pt idx="83">
                    <c:v>V=85%</c:v>
                  </c:pt>
                  <c:pt idx="84">
                    <c:v>V=85%</c:v>
                  </c:pt>
                  <c:pt idx="85">
                    <c:v>V=85%</c:v>
                  </c:pt>
                  <c:pt idx="86">
                    <c:v>V=85%</c:v>
                  </c:pt>
                  <c:pt idx="87">
                    <c:v>V=85%</c:v>
                  </c:pt>
                  <c:pt idx="88">
                    <c:v>V=85%</c:v>
                  </c:pt>
                  <c:pt idx="89">
                    <c:v>V=85%</c:v>
                  </c:pt>
                  <c:pt idx="90">
                    <c:v>V=85%</c:v>
                  </c:pt>
                  <c:pt idx="91">
                    <c:v>V=85%</c:v>
                  </c:pt>
                  <c:pt idx="92">
                    <c:v>V=85%</c:v>
                  </c:pt>
                </c15:dlblRangeCache>
              </c15:datalabelsRange>
            </c:ext>
            <c:ext xmlns:c16="http://schemas.microsoft.com/office/drawing/2014/chart" uri="{C3380CC4-5D6E-409C-BE32-E72D297353CC}">
              <c16:uniqueId val="{00000000-11DE-45D1-943F-0DE2ACF979D3}"/>
            </c:ext>
          </c:extLst>
        </c:ser>
        <c:ser>
          <c:idx val="1"/>
          <c:order val="1"/>
          <c:tx>
            <c:v>Id_PSCAD</c:v>
          </c:tx>
          <c:spPr>
            <a:ln w="31750" cap="rnd">
              <a:solidFill>
                <a:schemeClr val="accent2"/>
              </a:solidFill>
              <a:round/>
            </a:ln>
            <a:effectLst/>
          </c:spPr>
          <c:marker>
            <c:symbol val="none"/>
          </c:marker>
          <c:val>
            <c:numRef>
              <c:f>'Dynamic Data-RE'!$H$9:$H$101</c:f>
              <c:numCache>
                <c:formatCode>General</c:formatCode>
                <c:ptCount val="93"/>
                <c:pt idx="0">
                  <c:v>0.27439999999999998</c:v>
                </c:pt>
                <c:pt idx="1">
                  <c:v>0.2747</c:v>
                </c:pt>
                <c:pt idx="2" formatCode="0.00%">
                  <c:v>0.26900000000000002</c:v>
                </c:pt>
                <c:pt idx="3">
                  <c:v>0.86729999999999996</c:v>
                </c:pt>
                <c:pt idx="4">
                  <c:v>0.87</c:v>
                </c:pt>
                <c:pt idx="5">
                  <c:v>0.44180000000000003</c:v>
                </c:pt>
                <c:pt idx="6" formatCode="0.00">
                  <c:v>0.94269999999999998</c:v>
                </c:pt>
                <c:pt idx="7" formatCode="0.00%">
                  <c:v>0.95120000000000005</c:v>
                </c:pt>
                <c:pt idx="8">
                  <c:v>0.29149999999999998</c:v>
                </c:pt>
                <c:pt idx="9">
                  <c:v>1.0899999999999999</c:v>
                </c:pt>
                <c:pt idx="10">
                  <c:v>0</c:v>
                </c:pt>
                <c:pt idx="11">
                  <c:v>0</c:v>
                </c:pt>
                <c:pt idx="12">
                  <c:v>0</c:v>
                </c:pt>
                <c:pt idx="13">
                  <c:v>0</c:v>
                </c:pt>
                <c:pt idx="14" formatCode="0.0000">
                  <c:v>0.12</c:v>
                </c:pt>
                <c:pt idx="15">
                  <c:v>0.32579999999999998</c:v>
                </c:pt>
                <c:pt idx="16">
                  <c:v>0.32679999999999998</c:v>
                </c:pt>
                <c:pt idx="17">
                  <c:v>0.27400000000000002</c:v>
                </c:pt>
                <c:pt idx="18">
                  <c:v>0.27300000000000002</c:v>
                </c:pt>
                <c:pt idx="19">
                  <c:v>0.26900000000000002</c:v>
                </c:pt>
                <c:pt idx="20">
                  <c:v>0.45540000000000003</c:v>
                </c:pt>
                <c:pt idx="21">
                  <c:v>0.46</c:v>
                </c:pt>
                <c:pt idx="22">
                  <c:v>0.94</c:v>
                </c:pt>
                <c:pt idx="23" formatCode="0.00">
                  <c:v>0.93840000000000001</c:v>
                </c:pt>
                <c:pt idx="24" formatCode="0.00%">
                  <c:v>0.95</c:v>
                </c:pt>
                <c:pt idx="25">
                  <c:v>0.29189999999999999</c:v>
                </c:pt>
                <c:pt idx="26">
                  <c:v>1.0900000000000001</c:v>
                </c:pt>
                <c:pt idx="27">
                  <c:v>0</c:v>
                </c:pt>
                <c:pt idx="28">
                  <c:v>0</c:v>
                </c:pt>
                <c:pt idx="29">
                  <c:v>0</c:v>
                </c:pt>
                <c:pt idx="30">
                  <c:v>0</c:v>
                </c:pt>
                <c:pt idx="31">
                  <c:v>0.34599999999999997</c:v>
                </c:pt>
                <c:pt idx="32">
                  <c:v>3.2599999999999997E-2</c:v>
                </c:pt>
                <c:pt idx="33">
                  <c:v>3.6299999999999999E-2</c:v>
                </c:pt>
                <c:pt idx="34">
                  <c:v>0.27</c:v>
                </c:pt>
                <c:pt idx="35">
                  <c:v>0.27329999999999999</c:v>
                </c:pt>
                <c:pt idx="36">
                  <c:v>0.26929999999999998</c:v>
                </c:pt>
                <c:pt idx="37">
                  <c:v>0.04</c:v>
                </c:pt>
                <c:pt idx="38">
                  <c:v>0.04</c:v>
                </c:pt>
                <c:pt idx="39">
                  <c:v>0.94840000000000002</c:v>
                </c:pt>
                <c:pt idx="40" formatCode="0.00">
                  <c:v>0.94689999999999996</c:v>
                </c:pt>
                <c:pt idx="41" formatCode="0.00%">
                  <c:v>0.95140000000000002</c:v>
                </c:pt>
                <c:pt idx="42">
                  <c:v>0.3</c:v>
                </c:pt>
                <c:pt idx="43">
                  <c:v>1.0900000000000001</c:v>
                </c:pt>
                <c:pt idx="44">
                  <c:v>0</c:v>
                </c:pt>
                <c:pt idx="45">
                  <c:v>0</c:v>
                </c:pt>
                <c:pt idx="46">
                  <c:v>0</c:v>
                </c:pt>
                <c:pt idx="47">
                  <c:v>0</c:v>
                </c:pt>
                <c:pt idx="48">
                  <c:v>0.1719</c:v>
                </c:pt>
                <c:pt idx="49">
                  <c:v>-3.5000000000000003E-2</c:v>
                </c:pt>
                <c:pt idx="50">
                  <c:v>-0.22</c:v>
                </c:pt>
                <c:pt idx="51">
                  <c:v>0.35</c:v>
                </c:pt>
                <c:pt idx="52">
                  <c:v>0.28000000000000003</c:v>
                </c:pt>
                <c:pt idx="53">
                  <c:v>0.42099999999999999</c:v>
                </c:pt>
                <c:pt idx="54">
                  <c:v>0.27</c:v>
                </c:pt>
                <c:pt idx="55">
                  <c:v>-0.53</c:v>
                </c:pt>
                <c:pt idx="56">
                  <c:v>1.03</c:v>
                </c:pt>
                <c:pt idx="57">
                  <c:v>0.33599999999999997</c:v>
                </c:pt>
                <c:pt idx="58">
                  <c:v>0</c:v>
                </c:pt>
                <c:pt idx="59">
                  <c:v>0</c:v>
                </c:pt>
                <c:pt idx="60">
                  <c:v>0</c:v>
                </c:pt>
                <c:pt idx="61">
                  <c:v>0</c:v>
                </c:pt>
                <c:pt idx="62">
                  <c:v>1.095</c:v>
                </c:pt>
                <c:pt idx="63">
                  <c:v>0.30959999999999999</c:v>
                </c:pt>
                <c:pt idx="64">
                  <c:v>0.46129999999999999</c:v>
                </c:pt>
                <c:pt idx="65">
                  <c:v>-8.9999999999999993E-3</c:v>
                </c:pt>
                <c:pt idx="66">
                  <c:v>-0.11</c:v>
                </c:pt>
                <c:pt idx="67">
                  <c:v>0.79800000000000004</c:v>
                </c:pt>
                <c:pt idx="68">
                  <c:v>0.28999999999999998</c:v>
                </c:pt>
                <c:pt idx="69">
                  <c:v>0.16900000000000001</c:v>
                </c:pt>
                <c:pt idx="70">
                  <c:v>0.21779999999999999</c:v>
                </c:pt>
                <c:pt idx="71">
                  <c:v>-0.27</c:v>
                </c:pt>
                <c:pt idx="72">
                  <c:v>1.0900000000000001</c:v>
                </c:pt>
                <c:pt idx="73">
                  <c:v>0.22399999999999998</c:v>
                </c:pt>
                <c:pt idx="74">
                  <c:v>0</c:v>
                </c:pt>
                <c:pt idx="75">
                  <c:v>0</c:v>
                </c:pt>
                <c:pt idx="76">
                  <c:v>0</c:v>
                </c:pt>
                <c:pt idx="77">
                  <c:v>0</c:v>
                </c:pt>
                <c:pt idx="78">
                  <c:v>0.29199999999999998</c:v>
                </c:pt>
                <c:pt idx="79">
                  <c:v>0.121</c:v>
                </c:pt>
                <c:pt idx="80">
                  <c:v>0.28699999999999998</c:v>
                </c:pt>
                <c:pt idx="81">
                  <c:v>0.29139999999999999</c:v>
                </c:pt>
                <c:pt idx="82">
                  <c:v>-4.6600000000000003E-2</c:v>
                </c:pt>
                <c:pt idx="83">
                  <c:v>1</c:v>
                </c:pt>
                <c:pt idx="84">
                  <c:v>0.28000000000000003</c:v>
                </c:pt>
                <c:pt idx="85">
                  <c:v>3.5000000000000001E-3</c:v>
                </c:pt>
                <c:pt idx="86">
                  <c:v>0</c:v>
                </c:pt>
                <c:pt idx="87">
                  <c:v>-2.7E-2</c:v>
                </c:pt>
                <c:pt idx="88">
                  <c:v>1.0900000000000001</c:v>
                </c:pt>
                <c:pt idx="89">
                  <c:v>2.9999999999999992E-4</c:v>
                </c:pt>
                <c:pt idx="90">
                  <c:v>0</c:v>
                </c:pt>
                <c:pt idx="91">
                  <c:v>0</c:v>
                </c:pt>
                <c:pt idx="92">
                  <c:v>0</c:v>
                </c:pt>
              </c:numCache>
            </c:numRef>
          </c:val>
          <c:extLst>
            <c:ext xmlns:c16="http://schemas.microsoft.com/office/drawing/2014/chart" uri="{C3380CC4-5D6E-409C-BE32-E72D297353CC}">
              <c16:uniqueId val="{00000001-11DE-45D1-943F-0DE2ACF979D3}"/>
            </c:ext>
          </c:extLst>
        </c:ser>
        <c:dLbls>
          <c:showLegendKey val="0"/>
          <c:showVal val="0"/>
          <c:showCatName val="0"/>
          <c:showSerName val="0"/>
          <c:showPercent val="0"/>
          <c:showBubbleSize val="0"/>
        </c:dLbls>
        <c:axId val="576288224"/>
        <c:axId val="576283904"/>
      </c:radarChart>
      <c:catAx>
        <c:axId val="576288224"/>
        <c:scaling>
          <c:orientation val="minMax"/>
        </c:scaling>
        <c:delete val="1"/>
        <c:axPos val="b"/>
        <c:numFmt formatCode="General" sourceLinked="1"/>
        <c:majorTickMark val="none"/>
        <c:minorTickMark val="none"/>
        <c:tickLblPos val="nextTo"/>
        <c:crossAx val="576283904"/>
        <c:crosses val="autoZero"/>
        <c:auto val="1"/>
        <c:lblAlgn val="ctr"/>
        <c:lblOffset val="100"/>
        <c:noMultiLvlLbl val="0"/>
      </c:catAx>
      <c:valAx>
        <c:axId val="576283904"/>
        <c:scaling>
          <c:orientation val="minMax"/>
        </c:scaling>
        <c:delete val="0"/>
        <c:axPos val="l"/>
        <c:majorGridlines>
          <c:spPr>
            <a:ln w="9525" cap="flat" cmpd="sng" algn="ctr">
              <a:solidFill>
                <a:schemeClr val="tx2">
                  <a:lumMod val="15000"/>
                  <a:lumOff val="85000"/>
                </a:schemeClr>
              </a:solidFill>
              <a:round/>
            </a:ln>
            <a:effectLst/>
          </c:spPr>
        </c:majorGridlines>
        <c:minorGridlines>
          <c:spPr>
            <a:ln>
              <a:solidFill>
                <a:schemeClr val="tx2">
                  <a:lumMod val="5000"/>
                  <a:lumOff val="95000"/>
                </a:schemeClr>
              </a:solidFill>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762882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baseline="0">
                <a:solidFill>
                  <a:schemeClr val="tx2"/>
                </a:solidFill>
                <a:latin typeface="+mn-lt"/>
                <a:ea typeface="+mn-ea"/>
                <a:cs typeface="+mn-cs"/>
              </a:defRPr>
            </a:pPr>
            <a:r>
              <a:rPr lang="en-IN" sz="2400"/>
              <a:t>LVRT_Irms_max</a:t>
            </a:r>
          </a:p>
          <a:p>
            <a:pPr>
              <a:defRPr sz="2400"/>
            </a:pPr>
            <a:r>
              <a:rPr lang="en-IN" sz="2400"/>
              <a:t>INV/WTG/PCS</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2"/>
              </a:solidFill>
              <a:latin typeface="+mn-lt"/>
              <a:ea typeface="+mn-ea"/>
              <a:cs typeface="+mn-cs"/>
            </a:defRPr>
          </a:pPr>
          <a:endParaRPr lang="en-US"/>
        </a:p>
      </c:txPr>
    </c:title>
    <c:autoTitleDeleted val="0"/>
    <c:plotArea>
      <c:layout/>
      <c:radarChart>
        <c:radarStyle val="marker"/>
        <c:varyColors val="0"/>
        <c:ser>
          <c:idx val="0"/>
          <c:order val="0"/>
          <c:tx>
            <c:v>Irms_PSSE</c:v>
          </c:tx>
          <c:spPr>
            <a:ln w="31750" cap="rnd">
              <a:solidFill>
                <a:schemeClr val="accent1"/>
              </a:solidFill>
              <a:round/>
            </a:ln>
            <a:effectLst/>
          </c:spPr>
          <c:marker>
            <c:symbol val="none"/>
          </c:marker>
          <c:dLbls>
            <c:dLbl>
              <c:idx val="0"/>
              <c:tx>
                <c:rich>
                  <a:bodyPr/>
                  <a:lstStyle/>
                  <a:p>
                    <a:fld id="{5921F1AB-C3D7-4919-A382-BEB655E15793}" type="CELLRANGE">
                      <a:rPr lang="en-IN"/>
                      <a:pPr/>
                      <a:t>[CELLRANGE]</a:t>
                    </a:fld>
                    <a:r>
                      <a:rPr lang="en-IN" baseline="0"/>
                      <a:t>, </a:t>
                    </a:r>
                    <a:fld id="{074B6B22-A0F8-4A67-A82C-F70EA7F5F8AF}" type="CATEGORYNAME">
                      <a:rPr lang="en-IN" baseline="0"/>
                      <a:pPr/>
                      <a:t>[CATEGORY NAME]</a:t>
                    </a:fld>
                    <a:r>
                      <a:rPr lang="en-IN" baseline="0"/>
                      <a:t>, </a:t>
                    </a:r>
                    <a:fld id="{9577A0E5-3601-4BCE-B71B-235284FB4F6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09-4C9E-9A35-A2157A8C071C}"/>
                </c:ext>
              </c:extLst>
            </c:dLbl>
            <c:dLbl>
              <c:idx val="1"/>
              <c:tx>
                <c:rich>
                  <a:bodyPr/>
                  <a:lstStyle/>
                  <a:p>
                    <a:fld id="{07A44B7D-4725-4B12-AD8D-CA5D59303042}" type="CELLRANGE">
                      <a:rPr lang="en-IN"/>
                      <a:pPr/>
                      <a:t>[CELLRANGE]</a:t>
                    </a:fld>
                    <a:r>
                      <a:rPr lang="en-IN" baseline="0"/>
                      <a:t>, </a:t>
                    </a:r>
                    <a:fld id="{ED620E8F-454C-4C91-BACC-3E5478606FD5}" type="CATEGORYNAME">
                      <a:rPr lang="en-IN" baseline="0"/>
                      <a:pPr/>
                      <a:t>[CATEGORY NAME]</a:t>
                    </a:fld>
                    <a:r>
                      <a:rPr lang="en-IN" baseline="0"/>
                      <a:t>, </a:t>
                    </a:r>
                    <a:fld id="{327C42D1-E72D-4063-9919-EABC24AA863C}"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E09-4C9E-9A35-A2157A8C071C}"/>
                </c:ext>
              </c:extLst>
            </c:dLbl>
            <c:dLbl>
              <c:idx val="2"/>
              <c:tx>
                <c:rich>
                  <a:bodyPr/>
                  <a:lstStyle/>
                  <a:p>
                    <a:fld id="{6A99DE98-2791-4E18-8140-23F82D1DBB98}" type="CELLRANGE">
                      <a:rPr lang="en-IN"/>
                      <a:pPr/>
                      <a:t>[CELLRANGE]</a:t>
                    </a:fld>
                    <a:r>
                      <a:rPr lang="en-IN" baseline="0"/>
                      <a:t>, </a:t>
                    </a:r>
                    <a:fld id="{817C62E5-7287-421C-B173-764296F4C07C}" type="CATEGORYNAME">
                      <a:rPr lang="en-IN" baseline="0"/>
                      <a:pPr/>
                      <a:t>[CATEGORY NAME]</a:t>
                    </a:fld>
                    <a:r>
                      <a:rPr lang="en-IN" baseline="0"/>
                      <a:t>, </a:t>
                    </a:r>
                    <a:fld id="{59C07654-6EF4-4649-AAEA-3B5034F80B4B}"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E09-4C9E-9A35-A2157A8C071C}"/>
                </c:ext>
              </c:extLst>
            </c:dLbl>
            <c:dLbl>
              <c:idx val="3"/>
              <c:layout>
                <c:manualLayout>
                  <c:x val="-0.11654205944807394"/>
                  <c:y val="2.4412777503117482E-2"/>
                </c:manualLayout>
              </c:layout>
              <c:tx>
                <c:rich>
                  <a:bodyPr/>
                  <a:lstStyle/>
                  <a:p>
                    <a:fld id="{03FD2FD7-4FB4-4953-8DB8-C76C80262DA4}" type="CELLRANGE">
                      <a:rPr lang="en-US" baseline="0"/>
                      <a:pPr/>
                      <a:t>[CELLRANGE]</a:t>
                    </a:fld>
                    <a:r>
                      <a:rPr lang="en-US" baseline="0"/>
                      <a:t>, </a:t>
                    </a:r>
                    <a:fld id="{F3FE6887-8461-44DC-A5AB-D9D5D8B8B401}" type="CATEGORYNAME">
                      <a:rPr lang="en-US" baseline="0"/>
                      <a:pPr/>
                      <a:t>[CATEGORY NAME]</a:t>
                    </a:fld>
                    <a:r>
                      <a:rPr lang="en-US" baseline="0"/>
                      <a:t>, </a:t>
                    </a:r>
                    <a:fld id="{A2BBE280-0923-43D8-A369-40C66BFFD71D}"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E09-4C9E-9A35-A2157A8C071C}"/>
                </c:ext>
              </c:extLst>
            </c:dLbl>
            <c:dLbl>
              <c:idx val="4"/>
              <c:tx>
                <c:rich>
                  <a:bodyPr/>
                  <a:lstStyle/>
                  <a:p>
                    <a:fld id="{C7210A89-99F7-4B8A-A937-1B089D528491}" type="CELLRANGE">
                      <a:rPr lang="en-IN"/>
                      <a:pPr/>
                      <a:t>[CELLRANGE]</a:t>
                    </a:fld>
                    <a:r>
                      <a:rPr lang="en-IN" baseline="0"/>
                      <a:t>, </a:t>
                    </a:r>
                    <a:fld id="{21B2DC31-A31F-43C4-82F5-9BDB77FE9A6C}" type="CATEGORYNAME">
                      <a:rPr lang="en-IN" baseline="0"/>
                      <a:pPr/>
                      <a:t>[CATEGORY NAME]</a:t>
                    </a:fld>
                    <a:r>
                      <a:rPr lang="en-IN" baseline="0"/>
                      <a:t>, </a:t>
                    </a:r>
                    <a:fld id="{F979C21A-D40C-4575-B7BE-9876B054DA05}"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E09-4C9E-9A35-A2157A8C071C}"/>
                </c:ext>
              </c:extLst>
            </c:dLbl>
            <c:dLbl>
              <c:idx val="5"/>
              <c:tx>
                <c:rich>
                  <a:bodyPr/>
                  <a:lstStyle/>
                  <a:p>
                    <a:fld id="{E38A7605-45FA-47BB-AF1C-7AD9C957DA1D}" type="CELLRANGE">
                      <a:rPr lang="en-IN"/>
                      <a:pPr/>
                      <a:t>[CELLRANGE]</a:t>
                    </a:fld>
                    <a:r>
                      <a:rPr lang="en-IN" baseline="0"/>
                      <a:t>, </a:t>
                    </a:r>
                    <a:fld id="{38BB4C64-A748-4655-AAB1-F6E07BC5C361}" type="CATEGORYNAME">
                      <a:rPr lang="en-IN" baseline="0"/>
                      <a:pPr/>
                      <a:t>[CATEGORY NAME]</a:t>
                    </a:fld>
                    <a:r>
                      <a:rPr lang="en-IN" baseline="0"/>
                      <a:t>, </a:t>
                    </a:r>
                    <a:fld id="{C7CC1981-032E-4976-95A9-00530C3BA444}"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E09-4C9E-9A35-A2157A8C071C}"/>
                </c:ext>
              </c:extLst>
            </c:dLbl>
            <c:dLbl>
              <c:idx val="6"/>
              <c:tx>
                <c:rich>
                  <a:bodyPr/>
                  <a:lstStyle/>
                  <a:p>
                    <a:fld id="{DBBE727D-9780-434B-B515-98A1A4B8BE31}" type="CELLRANGE">
                      <a:rPr lang="en-IN"/>
                      <a:pPr/>
                      <a:t>[CELLRANGE]</a:t>
                    </a:fld>
                    <a:r>
                      <a:rPr lang="en-IN" baseline="0"/>
                      <a:t>, </a:t>
                    </a:r>
                    <a:fld id="{BFD9E92A-7F0A-4EBF-B40F-532B3B6A96B8}" type="CATEGORYNAME">
                      <a:rPr lang="en-IN" baseline="0"/>
                      <a:pPr/>
                      <a:t>[CATEGORY NAME]</a:t>
                    </a:fld>
                    <a:r>
                      <a:rPr lang="en-IN" baseline="0"/>
                      <a:t>, </a:t>
                    </a:r>
                    <a:fld id="{6BB1BAAC-EA7B-4AB3-A231-21860BB1F7F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E09-4C9E-9A35-A2157A8C071C}"/>
                </c:ext>
              </c:extLst>
            </c:dLbl>
            <c:dLbl>
              <c:idx val="7"/>
              <c:tx>
                <c:rich>
                  <a:bodyPr/>
                  <a:lstStyle/>
                  <a:p>
                    <a:fld id="{062F27EE-C161-4083-8C64-26C8E6B0BE34}" type="CELLRANGE">
                      <a:rPr lang="en-IN"/>
                      <a:pPr/>
                      <a:t>[CELLRANGE]</a:t>
                    </a:fld>
                    <a:r>
                      <a:rPr lang="en-IN" baseline="0"/>
                      <a:t>, </a:t>
                    </a:r>
                    <a:fld id="{73E1DBD5-6CE3-4BFE-ACF3-B1A0F45C7AAD}" type="CATEGORYNAME">
                      <a:rPr lang="en-IN" baseline="0"/>
                      <a:pPr/>
                      <a:t>[CATEGORY NAME]</a:t>
                    </a:fld>
                    <a:r>
                      <a:rPr lang="en-IN" baseline="0"/>
                      <a:t>, </a:t>
                    </a:r>
                    <a:fld id="{A7634619-189E-4905-B02F-C3E288F1DEA4}"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E09-4C9E-9A35-A2157A8C071C}"/>
                </c:ext>
              </c:extLst>
            </c:dLbl>
            <c:dLbl>
              <c:idx val="8"/>
              <c:tx>
                <c:rich>
                  <a:bodyPr/>
                  <a:lstStyle/>
                  <a:p>
                    <a:fld id="{F17803AE-B312-4341-9665-80DEAD0B8E8F}" type="CELLRANGE">
                      <a:rPr lang="en-IN"/>
                      <a:pPr/>
                      <a:t>[CELLRANGE]</a:t>
                    </a:fld>
                    <a:r>
                      <a:rPr lang="en-IN" baseline="0"/>
                      <a:t>, </a:t>
                    </a:r>
                    <a:fld id="{1C9368C2-BB8D-4E99-98D1-56F7D8547026}" type="CATEGORYNAME">
                      <a:rPr lang="en-IN" baseline="0"/>
                      <a:pPr/>
                      <a:t>[CATEGORY NAME]</a:t>
                    </a:fld>
                    <a:r>
                      <a:rPr lang="en-IN" baseline="0"/>
                      <a:t>, </a:t>
                    </a:r>
                    <a:fld id="{E82FB581-3759-4139-AF8F-2ADD2C053D58}"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AE09-4C9E-9A35-A2157A8C071C}"/>
                </c:ext>
              </c:extLst>
            </c:dLbl>
            <c:dLbl>
              <c:idx val="9"/>
              <c:tx>
                <c:rich>
                  <a:bodyPr/>
                  <a:lstStyle/>
                  <a:p>
                    <a:fld id="{20F16AA2-C2E5-41B6-B80E-F52D03E2DAF5}" type="CELLRANGE">
                      <a:rPr lang="en-IN"/>
                      <a:pPr/>
                      <a:t>[CELLRANGE]</a:t>
                    </a:fld>
                    <a:r>
                      <a:rPr lang="en-IN" baseline="0"/>
                      <a:t>, </a:t>
                    </a:r>
                    <a:fld id="{597B6EE8-E100-4D71-A679-EEF6957A21E8}" type="CATEGORYNAME">
                      <a:rPr lang="en-IN" baseline="0"/>
                      <a:pPr/>
                      <a:t>[CATEGORY NAME]</a:t>
                    </a:fld>
                    <a:r>
                      <a:rPr lang="en-IN" baseline="0"/>
                      <a:t>, </a:t>
                    </a:r>
                    <a:fld id="{48DAA853-83DA-498B-9361-936C051B697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AE09-4C9E-9A35-A2157A8C071C}"/>
                </c:ext>
              </c:extLst>
            </c:dLbl>
            <c:dLbl>
              <c:idx val="10"/>
              <c:tx>
                <c:rich>
                  <a:bodyPr/>
                  <a:lstStyle/>
                  <a:p>
                    <a:fld id="{F7C8F51D-69E4-4423-B54D-B6E7312B4D13}" type="CELLRANGE">
                      <a:rPr lang="en-IN"/>
                      <a:pPr/>
                      <a:t>[CELLRANGE]</a:t>
                    </a:fld>
                    <a:r>
                      <a:rPr lang="en-IN" baseline="0"/>
                      <a:t>, </a:t>
                    </a:r>
                    <a:fld id="{2189C6B8-C0BC-42FA-9644-8535D85C20DF}" type="CATEGORYNAME">
                      <a:rPr lang="en-IN" baseline="0"/>
                      <a:pPr/>
                      <a:t>[CATEGORY NAME]</a:t>
                    </a:fld>
                    <a:r>
                      <a:rPr lang="en-IN" baseline="0"/>
                      <a:t>, </a:t>
                    </a:r>
                    <a:fld id="{E6EDA41C-906D-4D4D-B7D8-66106685ED13}"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AE09-4C9E-9A35-A2157A8C071C}"/>
                </c:ext>
              </c:extLst>
            </c:dLbl>
            <c:dLbl>
              <c:idx val="11"/>
              <c:tx>
                <c:rich>
                  <a:bodyPr/>
                  <a:lstStyle/>
                  <a:p>
                    <a:fld id="{638CCD2B-FD70-4356-990E-2890C679EE6F}" type="CELLRANGE">
                      <a:rPr lang="en-IN"/>
                      <a:pPr/>
                      <a:t>[CELLRANGE]</a:t>
                    </a:fld>
                    <a:r>
                      <a:rPr lang="en-IN" baseline="0"/>
                      <a:t>, </a:t>
                    </a:r>
                    <a:fld id="{AE14A5AC-0C0F-453B-8289-B32D437C0727}" type="CATEGORYNAME">
                      <a:rPr lang="en-IN" baseline="0"/>
                      <a:pPr/>
                      <a:t>[CATEGORY NAME]</a:t>
                    </a:fld>
                    <a:r>
                      <a:rPr lang="en-IN" baseline="0"/>
                      <a:t>, </a:t>
                    </a:r>
                    <a:fld id="{DC0A87A0-6330-45BB-B214-5E26091DA601}"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74F-4DE4-95CB-E46C2F9E22DD}"/>
                </c:ext>
              </c:extLst>
            </c:dLbl>
            <c:dLbl>
              <c:idx val="12"/>
              <c:tx>
                <c:rich>
                  <a:bodyPr/>
                  <a:lstStyle/>
                  <a:p>
                    <a:fld id="{F566C0AA-E9CD-4A2B-A69F-678A50FBE580}" type="CELLRANGE">
                      <a:rPr lang="en-IN"/>
                      <a:pPr/>
                      <a:t>[CELLRANGE]</a:t>
                    </a:fld>
                    <a:r>
                      <a:rPr lang="en-IN" baseline="0"/>
                      <a:t>, </a:t>
                    </a:r>
                    <a:fld id="{80D11417-9808-4685-B263-4096022F4E77}" type="CATEGORYNAME">
                      <a:rPr lang="en-IN" baseline="0"/>
                      <a:pPr/>
                      <a:t>[CATEGORY NAME]</a:t>
                    </a:fld>
                    <a:r>
                      <a:rPr lang="en-IN" baseline="0"/>
                      <a:t>, </a:t>
                    </a:r>
                    <a:fld id="{4BD0F225-A304-40BF-BDFD-83001754E04A}"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74F-4DE4-95CB-E46C2F9E22DD}"/>
                </c:ext>
              </c:extLst>
            </c:dLbl>
            <c:dLbl>
              <c:idx val="13"/>
              <c:tx>
                <c:rich>
                  <a:bodyPr/>
                  <a:lstStyle/>
                  <a:p>
                    <a:fld id="{1222C35F-D83F-4ED2-91D7-3588385BBB68}" type="CELLRANGE">
                      <a:rPr lang="en-IN"/>
                      <a:pPr/>
                      <a:t>[CELLRANGE]</a:t>
                    </a:fld>
                    <a:r>
                      <a:rPr lang="en-IN" baseline="0"/>
                      <a:t>, </a:t>
                    </a:r>
                    <a:fld id="{1C623A77-2F8F-4999-988E-A3B101FC1012}" type="CATEGORYNAME">
                      <a:rPr lang="en-IN" baseline="0"/>
                      <a:pPr/>
                      <a:t>[CATEGORY NAME]</a:t>
                    </a:fld>
                    <a:r>
                      <a:rPr lang="en-IN" baseline="0"/>
                      <a:t>, </a:t>
                    </a:r>
                    <a:fld id="{0A3587E6-B99E-4244-8B87-E7C5096639FE}"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74F-4DE4-95CB-E46C2F9E22DD}"/>
                </c:ext>
              </c:extLst>
            </c:dLbl>
            <c:dLbl>
              <c:idx val="14"/>
              <c:tx>
                <c:rich>
                  <a:bodyPr/>
                  <a:lstStyle/>
                  <a:p>
                    <a:fld id="{FA9FA75B-86D8-41E4-9E87-C721B38BE6C6}" type="CELLRANGE">
                      <a:rPr lang="en-IN"/>
                      <a:pPr/>
                      <a:t>[CELLRANGE]</a:t>
                    </a:fld>
                    <a:r>
                      <a:rPr lang="en-IN" baseline="0"/>
                      <a:t>, </a:t>
                    </a:r>
                    <a:fld id="{195F8D76-51AF-4DD1-BB8B-F415BCCFECBB}" type="CATEGORYNAME">
                      <a:rPr lang="en-IN" baseline="0"/>
                      <a:pPr/>
                      <a:t>[CATEGORY NAME]</a:t>
                    </a:fld>
                    <a:r>
                      <a:rPr lang="en-IN" baseline="0"/>
                      <a:t>, </a:t>
                    </a:r>
                    <a:fld id="{6DB0D0EA-1EBD-400D-9110-135C96B70E39}"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74F-4DE4-95CB-E46C2F9E22DD}"/>
                </c:ext>
              </c:extLst>
            </c:dLbl>
            <c:dLbl>
              <c:idx val="15"/>
              <c:tx>
                <c:rich>
                  <a:bodyPr/>
                  <a:lstStyle/>
                  <a:p>
                    <a:fld id="{B94035E3-556D-4362-8C50-25B3F1959F87}" type="CELLRANGE">
                      <a:rPr lang="en-IN"/>
                      <a:pPr/>
                      <a:t>[CELLRANGE]</a:t>
                    </a:fld>
                    <a:r>
                      <a:rPr lang="en-IN" baseline="0"/>
                      <a:t>, </a:t>
                    </a:r>
                    <a:fld id="{1E916D42-6A3E-4DC9-A1A0-BF8FA5B993A4}" type="CATEGORYNAME">
                      <a:rPr lang="en-IN" baseline="0"/>
                      <a:pPr/>
                      <a:t>[CATEGORY NAME]</a:t>
                    </a:fld>
                    <a:r>
                      <a:rPr lang="en-IN" baseline="0"/>
                      <a:t>, </a:t>
                    </a:r>
                    <a:fld id="{966FE659-D790-4D09-920B-ED612B3B2E9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74F-4DE4-95CB-E46C2F9E22DD}"/>
                </c:ext>
              </c:extLst>
            </c:dLbl>
            <c:dLbl>
              <c:idx val="16"/>
              <c:tx>
                <c:rich>
                  <a:bodyPr/>
                  <a:lstStyle/>
                  <a:p>
                    <a:fld id="{F2D42670-4FA3-495B-B59A-2AA472F70534}" type="CELLRANGE">
                      <a:rPr lang="en-IN"/>
                      <a:pPr/>
                      <a:t>[CELLRANGE]</a:t>
                    </a:fld>
                    <a:r>
                      <a:rPr lang="en-IN" baseline="0"/>
                      <a:t>, </a:t>
                    </a:r>
                    <a:fld id="{3E36C924-8D34-456C-8F76-C2BF07270ADF}" type="CATEGORYNAME">
                      <a:rPr lang="en-IN" baseline="0"/>
                      <a:pPr/>
                      <a:t>[CATEGORY NAME]</a:t>
                    </a:fld>
                    <a:r>
                      <a:rPr lang="en-IN" baseline="0"/>
                      <a:t>, </a:t>
                    </a:r>
                    <a:fld id="{5DBE56C7-B063-478C-8EE5-326CD5C4F31A}"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74F-4DE4-95CB-E46C2F9E22DD}"/>
                </c:ext>
              </c:extLst>
            </c:dLbl>
            <c:dLbl>
              <c:idx val="17"/>
              <c:tx>
                <c:rich>
                  <a:bodyPr/>
                  <a:lstStyle/>
                  <a:p>
                    <a:fld id="{66E8393A-E008-4A8E-B541-A787AD030775}" type="CELLRANGE">
                      <a:rPr lang="en-IN"/>
                      <a:pPr/>
                      <a:t>[CELLRANGE]</a:t>
                    </a:fld>
                    <a:r>
                      <a:rPr lang="en-IN" baseline="0"/>
                      <a:t>, </a:t>
                    </a:r>
                    <a:fld id="{4475302F-69E8-4ED8-A9E3-8C2B3168AB18}" type="CATEGORYNAME">
                      <a:rPr lang="en-IN" baseline="0"/>
                      <a:pPr/>
                      <a:t>[CATEGORY NAME]</a:t>
                    </a:fld>
                    <a:r>
                      <a:rPr lang="en-IN" baseline="0"/>
                      <a:t>, </a:t>
                    </a:r>
                    <a:fld id="{63409A8D-E10F-45A4-ACC4-46B22841F109}"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74F-4DE4-95CB-E46C2F9E22DD}"/>
                </c:ext>
              </c:extLst>
            </c:dLbl>
            <c:dLbl>
              <c:idx val="18"/>
              <c:tx>
                <c:rich>
                  <a:bodyPr/>
                  <a:lstStyle/>
                  <a:p>
                    <a:fld id="{20D8DA00-16CD-4C15-82D8-FAED17729B0D}" type="CELLRANGE">
                      <a:rPr lang="en-IN"/>
                      <a:pPr/>
                      <a:t>[CELLRANGE]</a:t>
                    </a:fld>
                    <a:r>
                      <a:rPr lang="en-IN" baseline="0"/>
                      <a:t>, </a:t>
                    </a:r>
                    <a:fld id="{DDA786F6-6CA8-4892-AA88-BEC8F62CBFF9}" type="CATEGORYNAME">
                      <a:rPr lang="en-IN" baseline="0"/>
                      <a:pPr/>
                      <a:t>[CATEGORY NAME]</a:t>
                    </a:fld>
                    <a:r>
                      <a:rPr lang="en-IN" baseline="0"/>
                      <a:t>, </a:t>
                    </a:r>
                    <a:fld id="{573015B6-618A-4AF7-9E7A-22F58E69F196}"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74F-4DE4-95CB-E46C2F9E22DD}"/>
                </c:ext>
              </c:extLst>
            </c:dLbl>
            <c:dLbl>
              <c:idx val="19"/>
              <c:tx>
                <c:rich>
                  <a:bodyPr/>
                  <a:lstStyle/>
                  <a:p>
                    <a:fld id="{3093EDBE-7584-4804-A910-9D643C425756}" type="CELLRANGE">
                      <a:rPr lang="en-IN"/>
                      <a:pPr/>
                      <a:t>[CELLRANGE]</a:t>
                    </a:fld>
                    <a:r>
                      <a:rPr lang="en-IN" baseline="0"/>
                      <a:t>, </a:t>
                    </a:r>
                    <a:fld id="{8465FA92-3701-4944-B0E3-D8B9A34479AB}" type="CATEGORYNAME">
                      <a:rPr lang="en-IN" baseline="0"/>
                      <a:pPr/>
                      <a:t>[CATEGORY NAME]</a:t>
                    </a:fld>
                    <a:r>
                      <a:rPr lang="en-IN" baseline="0"/>
                      <a:t>, </a:t>
                    </a:r>
                    <a:fld id="{940CE0ED-8567-4104-8BCD-9D3AE56BD325}"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74F-4DE4-95CB-E46C2F9E22DD}"/>
                </c:ext>
              </c:extLst>
            </c:dLbl>
            <c:dLbl>
              <c:idx val="20"/>
              <c:tx>
                <c:rich>
                  <a:bodyPr/>
                  <a:lstStyle/>
                  <a:p>
                    <a:fld id="{1A317A0E-C360-460A-A50E-102DA5887229}" type="CELLRANGE">
                      <a:rPr lang="en-IN"/>
                      <a:pPr/>
                      <a:t>[CELLRANGE]</a:t>
                    </a:fld>
                    <a:r>
                      <a:rPr lang="en-IN" baseline="0"/>
                      <a:t>, </a:t>
                    </a:r>
                    <a:fld id="{9A26B526-37CF-4A34-8C9C-973209F4A12D}" type="CATEGORYNAME">
                      <a:rPr lang="en-IN" baseline="0"/>
                      <a:pPr/>
                      <a:t>[CATEGORY NAME]</a:t>
                    </a:fld>
                    <a:r>
                      <a:rPr lang="en-IN" baseline="0"/>
                      <a:t>, </a:t>
                    </a:r>
                    <a:fld id="{198B5748-3FD2-4B6C-9FB5-72782D37EBF3}"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74F-4DE4-95CB-E46C2F9E22DD}"/>
                </c:ext>
              </c:extLst>
            </c:dLbl>
            <c:dLbl>
              <c:idx val="21"/>
              <c:tx>
                <c:rich>
                  <a:bodyPr/>
                  <a:lstStyle/>
                  <a:p>
                    <a:fld id="{BBC049E7-64A9-48C7-92CF-BBC18431D07E}" type="CELLRANGE">
                      <a:rPr lang="en-IN"/>
                      <a:pPr/>
                      <a:t>[CELLRANGE]</a:t>
                    </a:fld>
                    <a:r>
                      <a:rPr lang="en-IN" baseline="0"/>
                      <a:t>, </a:t>
                    </a:r>
                    <a:fld id="{701D7785-C8F8-4077-8468-52346079CAF6}" type="CATEGORYNAME">
                      <a:rPr lang="en-IN" baseline="0"/>
                      <a:pPr/>
                      <a:t>[CATEGORY NAME]</a:t>
                    </a:fld>
                    <a:r>
                      <a:rPr lang="en-IN" baseline="0"/>
                      <a:t>, </a:t>
                    </a:r>
                    <a:fld id="{4B7B3498-5FCE-420E-A87A-E94F25F68D3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74F-4DE4-95CB-E46C2F9E22DD}"/>
                </c:ext>
              </c:extLst>
            </c:dLbl>
            <c:dLbl>
              <c:idx val="22"/>
              <c:tx>
                <c:rich>
                  <a:bodyPr/>
                  <a:lstStyle/>
                  <a:p>
                    <a:fld id="{D38150FC-0480-4CE8-BB1A-22ECB64F00AF}" type="CELLRANGE">
                      <a:rPr lang="en-IN"/>
                      <a:pPr/>
                      <a:t>[CELLRANGE]</a:t>
                    </a:fld>
                    <a:r>
                      <a:rPr lang="en-IN" baseline="0"/>
                      <a:t>, </a:t>
                    </a:r>
                    <a:fld id="{4806964A-FC49-4394-BB44-AABE7FCDC41C}" type="CATEGORYNAME">
                      <a:rPr lang="en-IN" baseline="0"/>
                      <a:pPr/>
                      <a:t>[CATEGORY NAME]</a:t>
                    </a:fld>
                    <a:r>
                      <a:rPr lang="en-IN" baseline="0"/>
                      <a:t>, </a:t>
                    </a:r>
                    <a:fld id="{7F4C874D-0591-4B3C-A8AF-E34429CEF5FC}"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774F-4DE4-95CB-E46C2F9E22DD}"/>
                </c:ext>
              </c:extLst>
            </c:dLbl>
            <c:dLbl>
              <c:idx val="23"/>
              <c:tx>
                <c:rich>
                  <a:bodyPr/>
                  <a:lstStyle/>
                  <a:p>
                    <a:fld id="{B53F4A07-AD35-4DEF-9395-ABAD59D86A6B}" type="CELLRANGE">
                      <a:rPr lang="en-IN"/>
                      <a:pPr/>
                      <a:t>[CELLRANGE]</a:t>
                    </a:fld>
                    <a:r>
                      <a:rPr lang="en-IN" baseline="0"/>
                      <a:t>, </a:t>
                    </a:r>
                    <a:fld id="{06A541FB-A35E-4B8F-9E12-C526CE201812}" type="CATEGORYNAME">
                      <a:rPr lang="en-IN" baseline="0"/>
                      <a:pPr/>
                      <a:t>[CATEGORY NAME]</a:t>
                    </a:fld>
                    <a:r>
                      <a:rPr lang="en-IN" baseline="0"/>
                      <a:t>, </a:t>
                    </a:r>
                    <a:fld id="{166624E8-CD22-4F87-8695-5CE057049F6D}"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774F-4DE4-95CB-E46C2F9E22DD}"/>
                </c:ext>
              </c:extLst>
            </c:dLbl>
            <c:dLbl>
              <c:idx val="24"/>
              <c:tx>
                <c:rich>
                  <a:bodyPr/>
                  <a:lstStyle/>
                  <a:p>
                    <a:fld id="{9AA380FF-A9BD-450C-8E0D-CC4B5A5181F5}" type="CELLRANGE">
                      <a:rPr lang="en-IN"/>
                      <a:pPr/>
                      <a:t>[CELLRANGE]</a:t>
                    </a:fld>
                    <a:r>
                      <a:rPr lang="en-IN" baseline="0"/>
                      <a:t>, </a:t>
                    </a:r>
                    <a:fld id="{660EF853-59ED-4FA6-98F8-3D642C2074E1}" type="CATEGORYNAME">
                      <a:rPr lang="en-IN" baseline="0"/>
                      <a:pPr/>
                      <a:t>[CATEGORY NAME]</a:t>
                    </a:fld>
                    <a:r>
                      <a:rPr lang="en-IN" baseline="0"/>
                      <a:t>, </a:t>
                    </a:r>
                    <a:fld id="{F50140CF-5542-49E2-B0FC-FD05F78D96F7}"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774F-4DE4-95CB-E46C2F9E22DD}"/>
                </c:ext>
              </c:extLst>
            </c:dLbl>
            <c:dLbl>
              <c:idx val="25"/>
              <c:tx>
                <c:rich>
                  <a:bodyPr/>
                  <a:lstStyle/>
                  <a:p>
                    <a:fld id="{E273A4BD-8DF6-462C-820F-2F83C024F9F2}" type="CELLRANGE">
                      <a:rPr lang="en-IN"/>
                      <a:pPr/>
                      <a:t>[CELLRANGE]</a:t>
                    </a:fld>
                    <a:r>
                      <a:rPr lang="en-IN" baseline="0"/>
                      <a:t>, </a:t>
                    </a:r>
                    <a:fld id="{6E2AF38D-5E0E-440E-9FB1-745A04953C4B}" type="CATEGORYNAME">
                      <a:rPr lang="en-IN" baseline="0"/>
                      <a:pPr/>
                      <a:t>[CATEGORY NAME]</a:t>
                    </a:fld>
                    <a:r>
                      <a:rPr lang="en-IN" baseline="0"/>
                      <a:t>, </a:t>
                    </a:r>
                    <a:fld id="{B44AD039-D75B-4B31-B41A-3B5F9AB951FC}"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774F-4DE4-95CB-E46C2F9E22DD}"/>
                </c:ext>
              </c:extLst>
            </c:dLbl>
            <c:dLbl>
              <c:idx val="26"/>
              <c:tx>
                <c:rich>
                  <a:bodyPr/>
                  <a:lstStyle/>
                  <a:p>
                    <a:fld id="{5513CAA4-247C-4BB8-93B3-FF1A0797EB66}" type="CELLRANGE">
                      <a:rPr lang="en-IN"/>
                      <a:pPr/>
                      <a:t>[CELLRANGE]</a:t>
                    </a:fld>
                    <a:r>
                      <a:rPr lang="en-IN" baseline="0"/>
                      <a:t>, </a:t>
                    </a:r>
                    <a:fld id="{D70AAEB4-C7FA-497F-8D4C-F05E2BA3BC54}" type="CATEGORYNAME">
                      <a:rPr lang="en-IN" baseline="0"/>
                      <a:pPr/>
                      <a:t>[CATEGORY NAME]</a:t>
                    </a:fld>
                    <a:r>
                      <a:rPr lang="en-IN" baseline="0"/>
                      <a:t>, </a:t>
                    </a:r>
                    <a:fld id="{7118F101-BF57-499D-B928-F003E4249CE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774F-4DE4-95CB-E46C2F9E22DD}"/>
                </c:ext>
              </c:extLst>
            </c:dLbl>
            <c:dLbl>
              <c:idx val="27"/>
              <c:tx>
                <c:rich>
                  <a:bodyPr/>
                  <a:lstStyle/>
                  <a:p>
                    <a:fld id="{8F786119-4432-4642-A252-D63C344296C8}" type="CELLRANGE">
                      <a:rPr lang="en-IN"/>
                      <a:pPr/>
                      <a:t>[CELLRANGE]</a:t>
                    </a:fld>
                    <a:r>
                      <a:rPr lang="en-IN" baseline="0"/>
                      <a:t>, </a:t>
                    </a:r>
                    <a:fld id="{1E2F0643-C15F-43F5-B13E-ADD7C0FCD8D0}" type="CATEGORYNAME">
                      <a:rPr lang="en-IN" baseline="0"/>
                      <a:pPr/>
                      <a:t>[CATEGORY NAME]</a:t>
                    </a:fld>
                    <a:r>
                      <a:rPr lang="en-IN" baseline="0"/>
                      <a:t>, </a:t>
                    </a:r>
                    <a:fld id="{70448D58-5887-478D-8630-3F2EAD518F07}"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774F-4DE4-95CB-E46C2F9E22DD}"/>
                </c:ext>
              </c:extLst>
            </c:dLbl>
            <c:dLbl>
              <c:idx val="28"/>
              <c:tx>
                <c:rich>
                  <a:bodyPr/>
                  <a:lstStyle/>
                  <a:p>
                    <a:fld id="{17B620C0-4185-4D93-B7BB-ECF750DD28FF}" type="CELLRANGE">
                      <a:rPr lang="en-IN"/>
                      <a:pPr/>
                      <a:t>[CELLRANGE]</a:t>
                    </a:fld>
                    <a:r>
                      <a:rPr lang="en-IN" baseline="0"/>
                      <a:t>, </a:t>
                    </a:r>
                    <a:fld id="{75901E34-0C9E-4093-A99F-2407706B9681}" type="CATEGORYNAME">
                      <a:rPr lang="en-IN" baseline="0"/>
                      <a:pPr/>
                      <a:t>[CATEGORY NAME]</a:t>
                    </a:fld>
                    <a:r>
                      <a:rPr lang="en-IN" baseline="0"/>
                      <a:t>, </a:t>
                    </a:r>
                    <a:fld id="{9F66868D-8457-4206-807B-FCEF3339DA93}"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774F-4DE4-95CB-E46C2F9E22DD}"/>
                </c:ext>
              </c:extLst>
            </c:dLbl>
            <c:dLbl>
              <c:idx val="29"/>
              <c:tx>
                <c:rich>
                  <a:bodyPr/>
                  <a:lstStyle/>
                  <a:p>
                    <a:fld id="{7FBA2245-A9DC-41C0-9824-75FE71E113D1}" type="CELLRANGE">
                      <a:rPr lang="en-IN"/>
                      <a:pPr/>
                      <a:t>[CELLRANGE]</a:t>
                    </a:fld>
                    <a:r>
                      <a:rPr lang="en-IN" baseline="0"/>
                      <a:t>, </a:t>
                    </a:r>
                    <a:fld id="{DCE21C67-5A5B-4D44-8F6B-DEBC44E98563}" type="CATEGORYNAME">
                      <a:rPr lang="en-IN" baseline="0"/>
                      <a:pPr/>
                      <a:t>[CATEGORY NAME]</a:t>
                    </a:fld>
                    <a:r>
                      <a:rPr lang="en-IN" baseline="0"/>
                      <a:t>, </a:t>
                    </a:r>
                    <a:fld id="{8CAD7644-B4D9-45EE-A98A-C7B603F3E9DF}"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774F-4DE4-95CB-E46C2F9E22DD}"/>
                </c:ext>
              </c:extLst>
            </c:dLbl>
            <c:dLbl>
              <c:idx val="30"/>
              <c:tx>
                <c:rich>
                  <a:bodyPr/>
                  <a:lstStyle/>
                  <a:p>
                    <a:fld id="{DD6C8E26-7492-4404-8B56-1DE464B1D816}" type="CELLRANGE">
                      <a:rPr lang="en-IN"/>
                      <a:pPr/>
                      <a:t>[CELLRANGE]</a:t>
                    </a:fld>
                    <a:r>
                      <a:rPr lang="en-IN" baseline="0"/>
                      <a:t>, </a:t>
                    </a:r>
                    <a:fld id="{88B56BD6-11D0-44DA-8637-E930FCC481BC}" type="CATEGORYNAME">
                      <a:rPr lang="en-IN" baseline="0"/>
                      <a:pPr/>
                      <a:t>[CATEGORY NAME]</a:t>
                    </a:fld>
                    <a:r>
                      <a:rPr lang="en-IN" baseline="0"/>
                      <a:t>, </a:t>
                    </a:r>
                    <a:fld id="{4DCFCA41-B331-43BB-A5C3-10BBB8BB754A}"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774F-4DE4-95CB-E46C2F9E22DD}"/>
                </c:ext>
              </c:extLst>
            </c:dLbl>
            <c:dLbl>
              <c:idx val="31"/>
              <c:tx>
                <c:rich>
                  <a:bodyPr/>
                  <a:lstStyle/>
                  <a:p>
                    <a:fld id="{8046B670-04D5-4EAD-BAF9-B288B847710E}" type="CELLRANGE">
                      <a:rPr lang="en-IN"/>
                      <a:pPr/>
                      <a:t>[CELLRANGE]</a:t>
                    </a:fld>
                    <a:r>
                      <a:rPr lang="en-IN" baseline="0"/>
                      <a:t>, </a:t>
                    </a:r>
                    <a:fld id="{6B14A0C8-0A70-43DA-BFF9-DDA7DEE7CA99}" type="CATEGORYNAME">
                      <a:rPr lang="en-IN" baseline="0"/>
                      <a:pPr/>
                      <a:t>[CATEGORY NAME]</a:t>
                    </a:fld>
                    <a:r>
                      <a:rPr lang="en-IN" baseline="0"/>
                      <a:t>, </a:t>
                    </a:r>
                    <a:fld id="{A79F562B-5760-486C-8CBE-9E508A543188}"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774F-4DE4-95CB-E46C2F9E22DD}"/>
                </c:ext>
              </c:extLst>
            </c:dLbl>
            <c:dLbl>
              <c:idx val="32"/>
              <c:tx>
                <c:rich>
                  <a:bodyPr/>
                  <a:lstStyle/>
                  <a:p>
                    <a:fld id="{09A88FC5-C979-452E-9EB1-4CC74A14D58E}" type="CELLRANGE">
                      <a:rPr lang="en-IN"/>
                      <a:pPr/>
                      <a:t>[CELLRANGE]</a:t>
                    </a:fld>
                    <a:r>
                      <a:rPr lang="en-IN" baseline="0"/>
                      <a:t>, </a:t>
                    </a:r>
                    <a:fld id="{0A2AC26C-2D83-47A5-AA63-883811ACD4EB}" type="CATEGORYNAME">
                      <a:rPr lang="en-IN" baseline="0"/>
                      <a:pPr/>
                      <a:t>[CATEGORY NAME]</a:t>
                    </a:fld>
                    <a:r>
                      <a:rPr lang="en-IN" baseline="0"/>
                      <a:t>, </a:t>
                    </a:r>
                    <a:fld id="{CB0C0B7A-0E9F-4D7F-B271-FCB27197267A}"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774F-4DE4-95CB-E46C2F9E22DD}"/>
                </c:ext>
              </c:extLst>
            </c:dLbl>
            <c:dLbl>
              <c:idx val="33"/>
              <c:tx>
                <c:rich>
                  <a:bodyPr/>
                  <a:lstStyle/>
                  <a:p>
                    <a:fld id="{A9AB6C6F-EB22-436A-AF39-089A37157C58}" type="CELLRANGE">
                      <a:rPr lang="en-IN"/>
                      <a:pPr/>
                      <a:t>[CELLRANGE]</a:t>
                    </a:fld>
                    <a:r>
                      <a:rPr lang="en-IN" baseline="0"/>
                      <a:t>, </a:t>
                    </a:r>
                    <a:fld id="{D806C337-5CDC-4FF0-9B9E-FFBA4C2AAF3D}" type="CATEGORYNAME">
                      <a:rPr lang="en-IN" baseline="0"/>
                      <a:pPr/>
                      <a:t>[CATEGORY NAME]</a:t>
                    </a:fld>
                    <a:r>
                      <a:rPr lang="en-IN" baseline="0"/>
                      <a:t>, </a:t>
                    </a:r>
                    <a:fld id="{2AF02101-3EB4-4206-940E-F94B26DC126D}"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774F-4DE4-95CB-E46C2F9E22DD}"/>
                </c:ext>
              </c:extLst>
            </c:dLbl>
            <c:dLbl>
              <c:idx val="34"/>
              <c:tx>
                <c:rich>
                  <a:bodyPr/>
                  <a:lstStyle/>
                  <a:p>
                    <a:fld id="{B274B462-3FD1-4759-9735-7D5C286744E4}" type="CELLRANGE">
                      <a:rPr lang="en-IN"/>
                      <a:pPr/>
                      <a:t>[CELLRANGE]</a:t>
                    </a:fld>
                    <a:r>
                      <a:rPr lang="en-IN" baseline="0"/>
                      <a:t>, </a:t>
                    </a:r>
                    <a:fld id="{5F0F7D48-8FE4-4893-8215-DAC1DBA16142}" type="CATEGORYNAME">
                      <a:rPr lang="en-IN" baseline="0"/>
                      <a:pPr/>
                      <a:t>[CATEGORY NAME]</a:t>
                    </a:fld>
                    <a:r>
                      <a:rPr lang="en-IN" baseline="0"/>
                      <a:t>, </a:t>
                    </a:r>
                    <a:fld id="{BFF7A570-17A9-4F7A-8A74-69EB85C803FE}"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774F-4DE4-95CB-E46C2F9E22DD}"/>
                </c:ext>
              </c:extLst>
            </c:dLbl>
            <c:dLbl>
              <c:idx val="35"/>
              <c:tx>
                <c:rich>
                  <a:bodyPr/>
                  <a:lstStyle/>
                  <a:p>
                    <a:fld id="{B2FA6323-BA77-4AF2-9208-F430CBF2D5CE}" type="CELLRANGE">
                      <a:rPr lang="en-IN"/>
                      <a:pPr/>
                      <a:t>[CELLRANGE]</a:t>
                    </a:fld>
                    <a:r>
                      <a:rPr lang="en-IN" baseline="0"/>
                      <a:t>, </a:t>
                    </a:r>
                    <a:fld id="{C63D21F5-FA6C-48D4-9CF6-FBD95FFE04E7}" type="CATEGORYNAME">
                      <a:rPr lang="en-IN" baseline="0"/>
                      <a:pPr/>
                      <a:t>[CATEGORY NAME]</a:t>
                    </a:fld>
                    <a:r>
                      <a:rPr lang="en-IN" baseline="0"/>
                      <a:t>, </a:t>
                    </a:r>
                    <a:fld id="{DD164131-43C4-4FEC-9D3A-CD2140EE8015}"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774F-4DE4-95CB-E46C2F9E22DD}"/>
                </c:ext>
              </c:extLst>
            </c:dLbl>
            <c:dLbl>
              <c:idx val="36"/>
              <c:tx>
                <c:rich>
                  <a:bodyPr/>
                  <a:lstStyle/>
                  <a:p>
                    <a:fld id="{8970AE90-3FBF-4885-A6E0-20ED46D4FE39}" type="CELLRANGE">
                      <a:rPr lang="en-IN"/>
                      <a:pPr/>
                      <a:t>[CELLRANGE]</a:t>
                    </a:fld>
                    <a:r>
                      <a:rPr lang="en-IN" baseline="0"/>
                      <a:t>, </a:t>
                    </a:r>
                    <a:fld id="{17A06334-16C2-4312-AF1C-232048AF6312}" type="CATEGORYNAME">
                      <a:rPr lang="en-IN" baseline="0"/>
                      <a:pPr/>
                      <a:t>[CATEGORY NAME]</a:t>
                    </a:fld>
                    <a:r>
                      <a:rPr lang="en-IN" baseline="0"/>
                      <a:t>, </a:t>
                    </a:r>
                    <a:fld id="{022AE0BF-6126-484E-9A50-13F83CE60D25}"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774F-4DE4-95CB-E46C2F9E22DD}"/>
                </c:ext>
              </c:extLst>
            </c:dLbl>
            <c:dLbl>
              <c:idx val="37"/>
              <c:tx>
                <c:rich>
                  <a:bodyPr/>
                  <a:lstStyle/>
                  <a:p>
                    <a:fld id="{3104766E-C614-4A81-980C-81EDD9E304F2}" type="CELLRANGE">
                      <a:rPr lang="en-IN"/>
                      <a:pPr/>
                      <a:t>[CELLRANGE]</a:t>
                    </a:fld>
                    <a:r>
                      <a:rPr lang="en-IN" baseline="0"/>
                      <a:t>, </a:t>
                    </a:r>
                    <a:fld id="{4CF21AC9-C0AF-423E-B6F8-EA833B02D9E3}" type="CATEGORYNAME">
                      <a:rPr lang="en-IN" baseline="0"/>
                      <a:pPr/>
                      <a:t>[CATEGORY NAME]</a:t>
                    </a:fld>
                    <a:r>
                      <a:rPr lang="en-IN" baseline="0"/>
                      <a:t>, </a:t>
                    </a:r>
                    <a:fld id="{4D24126A-BBB5-4607-A9CE-E4785F643893}"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774F-4DE4-95CB-E46C2F9E22DD}"/>
                </c:ext>
              </c:extLst>
            </c:dLbl>
            <c:dLbl>
              <c:idx val="38"/>
              <c:tx>
                <c:rich>
                  <a:bodyPr/>
                  <a:lstStyle/>
                  <a:p>
                    <a:fld id="{22295B01-B32D-496B-AA46-F1134229AEAE}" type="CELLRANGE">
                      <a:rPr lang="en-IN"/>
                      <a:pPr/>
                      <a:t>[CELLRANGE]</a:t>
                    </a:fld>
                    <a:r>
                      <a:rPr lang="en-IN" baseline="0"/>
                      <a:t>, </a:t>
                    </a:r>
                    <a:fld id="{EEA700E3-E96B-41F8-817C-16014D298E23}" type="CATEGORYNAME">
                      <a:rPr lang="en-IN" baseline="0"/>
                      <a:pPr/>
                      <a:t>[CATEGORY NAME]</a:t>
                    </a:fld>
                    <a:r>
                      <a:rPr lang="en-IN" baseline="0"/>
                      <a:t>, </a:t>
                    </a:r>
                    <a:fld id="{4FBE8355-C6A4-4735-9626-3B843F2235E4}"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774F-4DE4-95CB-E46C2F9E22DD}"/>
                </c:ext>
              </c:extLst>
            </c:dLbl>
            <c:dLbl>
              <c:idx val="39"/>
              <c:tx>
                <c:rich>
                  <a:bodyPr/>
                  <a:lstStyle/>
                  <a:p>
                    <a:fld id="{38D77597-6710-47E8-9586-49553947487F}" type="CELLRANGE">
                      <a:rPr lang="en-IN"/>
                      <a:pPr/>
                      <a:t>[CELLRANGE]</a:t>
                    </a:fld>
                    <a:r>
                      <a:rPr lang="en-IN" baseline="0"/>
                      <a:t>, </a:t>
                    </a:r>
                    <a:fld id="{34806921-402A-4B43-83AE-ED774474C0DC}" type="CATEGORYNAME">
                      <a:rPr lang="en-IN" baseline="0"/>
                      <a:pPr/>
                      <a:t>[CATEGORY NAME]</a:t>
                    </a:fld>
                    <a:r>
                      <a:rPr lang="en-IN" baseline="0"/>
                      <a:t>, </a:t>
                    </a:r>
                    <a:fld id="{04A1D8C1-A349-48AF-9717-E681E6F2F395}"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774F-4DE4-95CB-E46C2F9E22DD}"/>
                </c:ext>
              </c:extLst>
            </c:dLbl>
            <c:dLbl>
              <c:idx val="40"/>
              <c:tx>
                <c:rich>
                  <a:bodyPr/>
                  <a:lstStyle/>
                  <a:p>
                    <a:fld id="{0BFD8832-F654-4728-8F5B-BB5FFFACEEDE}" type="CELLRANGE">
                      <a:rPr lang="en-IN"/>
                      <a:pPr/>
                      <a:t>[CELLRANGE]</a:t>
                    </a:fld>
                    <a:r>
                      <a:rPr lang="en-IN" baseline="0"/>
                      <a:t>, </a:t>
                    </a:r>
                    <a:fld id="{CF9C4B4A-EB0C-43B2-9201-163EF8DEA0CE}" type="CATEGORYNAME">
                      <a:rPr lang="en-IN" baseline="0"/>
                      <a:pPr/>
                      <a:t>[CATEGORY NAME]</a:t>
                    </a:fld>
                    <a:r>
                      <a:rPr lang="en-IN" baseline="0"/>
                      <a:t>, </a:t>
                    </a:r>
                    <a:fld id="{6ED48412-3CF5-4447-8F56-A908D39BB42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774F-4DE4-95CB-E46C2F9E22DD}"/>
                </c:ext>
              </c:extLst>
            </c:dLbl>
            <c:dLbl>
              <c:idx val="41"/>
              <c:tx>
                <c:rich>
                  <a:bodyPr/>
                  <a:lstStyle/>
                  <a:p>
                    <a:fld id="{0B626E09-D364-417F-98D5-912CA78F0BBA}" type="CELLRANGE">
                      <a:rPr lang="en-IN"/>
                      <a:pPr/>
                      <a:t>[CELLRANGE]</a:t>
                    </a:fld>
                    <a:r>
                      <a:rPr lang="en-IN" baseline="0"/>
                      <a:t>, </a:t>
                    </a:r>
                    <a:fld id="{84965D07-2F66-4678-9A4C-76B5D42940D2}" type="CATEGORYNAME">
                      <a:rPr lang="en-IN" baseline="0"/>
                      <a:pPr/>
                      <a:t>[CATEGORY NAME]</a:t>
                    </a:fld>
                    <a:r>
                      <a:rPr lang="en-IN" baseline="0"/>
                      <a:t>, </a:t>
                    </a:r>
                    <a:fld id="{B8361C6F-A32F-4198-9AB0-1E02000DCD81}"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774F-4DE4-95CB-E46C2F9E22DD}"/>
                </c:ext>
              </c:extLst>
            </c:dLbl>
            <c:dLbl>
              <c:idx val="42"/>
              <c:tx>
                <c:rich>
                  <a:bodyPr/>
                  <a:lstStyle/>
                  <a:p>
                    <a:fld id="{5F5E9A1C-1059-460F-BD8C-022532D2B896}" type="CELLRANGE">
                      <a:rPr lang="en-IN"/>
                      <a:pPr/>
                      <a:t>[CELLRANGE]</a:t>
                    </a:fld>
                    <a:r>
                      <a:rPr lang="en-IN" baseline="0"/>
                      <a:t>, </a:t>
                    </a:r>
                    <a:fld id="{9F3E4C0D-4016-429A-A86C-86CF30A17BC2}" type="CATEGORYNAME">
                      <a:rPr lang="en-IN" baseline="0"/>
                      <a:pPr/>
                      <a:t>[CATEGORY NAME]</a:t>
                    </a:fld>
                    <a:r>
                      <a:rPr lang="en-IN" baseline="0"/>
                      <a:t>, </a:t>
                    </a:r>
                    <a:fld id="{AC5B71D5-0BEF-4709-8507-BA0A5FC19928}"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774F-4DE4-95CB-E46C2F9E22DD}"/>
                </c:ext>
              </c:extLst>
            </c:dLbl>
            <c:dLbl>
              <c:idx val="43"/>
              <c:tx>
                <c:rich>
                  <a:bodyPr/>
                  <a:lstStyle/>
                  <a:p>
                    <a:fld id="{F1E186F9-4E8D-4BBE-B3B8-5F9B8515B5D1}" type="CELLRANGE">
                      <a:rPr lang="en-IN"/>
                      <a:pPr/>
                      <a:t>[CELLRANGE]</a:t>
                    </a:fld>
                    <a:r>
                      <a:rPr lang="en-IN" baseline="0"/>
                      <a:t>, </a:t>
                    </a:r>
                    <a:fld id="{ED63EB40-7F68-40D3-B252-A24C51BA95AE}" type="CATEGORYNAME">
                      <a:rPr lang="en-IN" baseline="0"/>
                      <a:pPr/>
                      <a:t>[CATEGORY NAME]</a:t>
                    </a:fld>
                    <a:r>
                      <a:rPr lang="en-IN" baseline="0"/>
                      <a:t>, </a:t>
                    </a:r>
                    <a:fld id="{157FAB77-8D4C-4F69-A469-7E3CC8214076}"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774F-4DE4-95CB-E46C2F9E22DD}"/>
                </c:ext>
              </c:extLst>
            </c:dLbl>
            <c:dLbl>
              <c:idx val="44"/>
              <c:tx>
                <c:rich>
                  <a:bodyPr/>
                  <a:lstStyle/>
                  <a:p>
                    <a:fld id="{5EB3C63A-157D-45A2-B621-6E239BE0BE25}" type="CELLRANGE">
                      <a:rPr lang="en-IN"/>
                      <a:pPr/>
                      <a:t>[CELLRANGE]</a:t>
                    </a:fld>
                    <a:r>
                      <a:rPr lang="en-IN" baseline="0"/>
                      <a:t>, </a:t>
                    </a:r>
                    <a:fld id="{4AB3DDAD-ACCE-4E6C-8143-6CF30CD1FA9F}" type="CATEGORYNAME">
                      <a:rPr lang="en-IN" baseline="0"/>
                      <a:pPr/>
                      <a:t>[CATEGORY NAME]</a:t>
                    </a:fld>
                    <a:r>
                      <a:rPr lang="en-IN" baseline="0"/>
                      <a:t>, </a:t>
                    </a:r>
                    <a:fld id="{6AFAC29E-3F86-4017-B0B9-184C7C1835E4}"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774F-4DE4-95CB-E46C2F9E22DD}"/>
                </c:ext>
              </c:extLst>
            </c:dLbl>
            <c:dLbl>
              <c:idx val="45"/>
              <c:tx>
                <c:rich>
                  <a:bodyPr/>
                  <a:lstStyle/>
                  <a:p>
                    <a:fld id="{693A7A79-A7AD-4637-91C5-0FCFD276EDC3}" type="CELLRANGE">
                      <a:rPr lang="en-IN"/>
                      <a:pPr/>
                      <a:t>[CELLRANGE]</a:t>
                    </a:fld>
                    <a:r>
                      <a:rPr lang="en-IN" baseline="0"/>
                      <a:t>, </a:t>
                    </a:r>
                    <a:fld id="{2B08FAA3-890D-4EDA-8E7C-DBD44C0D60B1}" type="CATEGORYNAME">
                      <a:rPr lang="en-IN" baseline="0"/>
                      <a:pPr/>
                      <a:t>[CATEGORY NAME]</a:t>
                    </a:fld>
                    <a:r>
                      <a:rPr lang="en-IN" baseline="0"/>
                      <a:t>, </a:t>
                    </a:r>
                    <a:fld id="{2840DB49-5E55-4EEA-ABDD-BE3380CC9D05}"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774F-4DE4-95CB-E46C2F9E22DD}"/>
                </c:ext>
              </c:extLst>
            </c:dLbl>
            <c:dLbl>
              <c:idx val="46"/>
              <c:tx>
                <c:rich>
                  <a:bodyPr/>
                  <a:lstStyle/>
                  <a:p>
                    <a:fld id="{E922422D-659F-4C18-B73B-9272082A4E59}" type="CELLRANGE">
                      <a:rPr lang="en-IN"/>
                      <a:pPr/>
                      <a:t>[CELLRANGE]</a:t>
                    </a:fld>
                    <a:r>
                      <a:rPr lang="en-IN" baseline="0"/>
                      <a:t>, </a:t>
                    </a:r>
                    <a:fld id="{98D466CE-39E8-4F46-B1E4-5521BD726E28}" type="CATEGORYNAME">
                      <a:rPr lang="en-IN" baseline="0"/>
                      <a:pPr/>
                      <a:t>[CATEGORY NAME]</a:t>
                    </a:fld>
                    <a:r>
                      <a:rPr lang="en-IN" baseline="0"/>
                      <a:t>, </a:t>
                    </a:r>
                    <a:fld id="{1900E22C-7ED7-4D03-BEAA-FD53688BF161}"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774F-4DE4-95CB-E46C2F9E22DD}"/>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val>
            <c:numRef>
              <c:f>'Dynamic Data-RE'!$G$10:$G$56</c:f>
              <c:numCache>
                <c:formatCode>General</c:formatCode>
                <c:ptCount val="47"/>
                <c:pt idx="0" formatCode="0.00">
                  <c:v>0.93711100756847376</c:v>
                </c:pt>
                <c:pt idx="1">
                  <c:v>0</c:v>
                </c:pt>
                <c:pt idx="2" formatCode="0.0000">
                  <c:v>1.029935</c:v>
                </c:pt>
                <c:pt idx="3" formatCode="0.0000">
                  <c:v>1.1000000000000001</c:v>
                </c:pt>
                <c:pt idx="4" formatCode="0.0000">
                  <c:v>9.9999999999999995E-7</c:v>
                </c:pt>
                <c:pt idx="5" formatCode="0.0000">
                  <c:v>1.1000000000004551</c:v>
                </c:pt>
                <c:pt idx="6">
                  <c:v>0</c:v>
                </c:pt>
                <c:pt idx="7">
                  <c:v>0.6</c:v>
                </c:pt>
                <c:pt idx="8" formatCode="0.0000">
                  <c:v>0.586696</c:v>
                </c:pt>
                <c:pt idx="9">
                  <c:v>0</c:v>
                </c:pt>
                <c:pt idx="10">
                  <c:v>0</c:v>
                </c:pt>
                <c:pt idx="11">
                  <c:v>0</c:v>
                </c:pt>
                <c:pt idx="12">
                  <c:v>0</c:v>
                </c:pt>
                <c:pt idx="13" formatCode="0.0000">
                  <c:v>42.294609999999999</c:v>
                </c:pt>
                <c:pt idx="14" formatCode="0.0000">
                  <c:v>1.755137179194834</c:v>
                </c:pt>
                <c:pt idx="15" formatCode="0.0000">
                  <c:v>5.2422000000000003E-2</c:v>
                </c:pt>
                <c:pt idx="16" formatCode="0.0000">
                  <c:v>0.28768100000000002</c:v>
                </c:pt>
                <c:pt idx="17" formatCode="0.0000">
                  <c:v>0.54343200000000003</c:v>
                </c:pt>
                <c:pt idx="18" formatCode="0.0000">
                  <c:v>0.61739937580872239</c:v>
                </c:pt>
                <c:pt idx="19" formatCode="0.0000">
                  <c:v>4.9199700000000002</c:v>
                </c:pt>
                <c:pt idx="20" formatCode="0.0000">
                  <c:v>0.62619800000000003</c:v>
                </c:pt>
                <c:pt idx="21" formatCode="0.0000">
                  <c:v>0.68438500000000002</c:v>
                </c:pt>
                <c:pt idx="22" formatCode="0.0000">
                  <c:v>0.84745700000000002</c:v>
                </c:pt>
                <c:pt idx="23" formatCode="0.0000">
                  <c:v>1.098712379321358</c:v>
                </c:pt>
                <c:pt idx="24" formatCode="0.0000">
                  <c:v>67.480699999999999</c:v>
                </c:pt>
                <c:pt idx="25" formatCode="0.0000">
                  <c:v>0.586696</c:v>
                </c:pt>
                <c:pt idx="26">
                  <c:v>0</c:v>
                </c:pt>
                <c:pt idx="27">
                  <c:v>0</c:v>
                </c:pt>
                <c:pt idx="28">
                  <c:v>0</c:v>
                </c:pt>
                <c:pt idx="29">
                  <c:v>0</c:v>
                </c:pt>
                <c:pt idx="30" formatCode="0.0000">
                  <c:v>51.014110000000002</c:v>
                </c:pt>
                <c:pt idx="31" formatCode="0.0000">
                  <c:v>1.529767063188707</c:v>
                </c:pt>
                <c:pt idx="32" formatCode="0.0000">
                  <c:v>1.2269E-2</c:v>
                </c:pt>
                <c:pt idx="33" formatCode="0.0000">
                  <c:v>0.24295600000000001</c:v>
                </c:pt>
                <c:pt idx="34" formatCode="0.0000">
                  <c:v>0.27635700000000002</c:v>
                </c:pt>
                <c:pt idx="35" formatCode="0.0000">
                  <c:v>0.36975011665312563</c:v>
                </c:pt>
                <c:pt idx="36" formatCode="0.0000">
                  <c:v>4.9184299999999999</c:v>
                </c:pt>
                <c:pt idx="37" formatCode="0.0000">
                  <c:v>0.248249</c:v>
                </c:pt>
                <c:pt idx="38" formatCode="0.0000">
                  <c:v>0.31263299999999999</c:v>
                </c:pt>
                <c:pt idx="39" formatCode="0.0000">
                  <c:v>0.96130300000000002</c:v>
                </c:pt>
                <c:pt idx="40" formatCode="0.0000">
                  <c:v>1.0122105853200709</c:v>
                </c:pt>
                <c:pt idx="41" formatCode="0.0000">
                  <c:v>67.495999999999995</c:v>
                </c:pt>
                <c:pt idx="42" formatCode="0.0000">
                  <c:v>0.27495000000000003</c:v>
                </c:pt>
                <c:pt idx="43">
                  <c:v>0</c:v>
                </c:pt>
                <c:pt idx="44">
                  <c:v>0</c:v>
                </c:pt>
                <c:pt idx="45">
                  <c:v>0</c:v>
                </c:pt>
                <c:pt idx="46">
                  <c:v>0</c:v>
                </c:pt>
              </c:numCache>
            </c:numRef>
          </c:val>
          <c:extLst>
            <c:ext xmlns:c15="http://schemas.microsoft.com/office/drawing/2012/chart" uri="{02D57815-91ED-43cb-92C2-25804820EDAC}">
              <c15:datalabelsRange>
                <c15:f>'Dynamic Data-RE'!$C$10:$C$56</c15:f>
                <c15:dlblRangeCache>
                  <c:ptCount val="47"/>
                  <c:pt idx="0">
                    <c:v>V=15%</c:v>
                  </c:pt>
                  <c:pt idx="1">
                    <c:v>V=15%</c:v>
                  </c:pt>
                  <c:pt idx="2">
                    <c:v>V=15%</c:v>
                  </c:pt>
                  <c:pt idx="3">
                    <c:v>V=15%</c:v>
                  </c:pt>
                  <c:pt idx="4">
                    <c:v>V=15%</c:v>
                  </c:pt>
                  <c:pt idx="5">
                    <c:v>V=15%</c:v>
                  </c:pt>
                  <c:pt idx="6">
                    <c:v>V=15%</c:v>
                  </c:pt>
                  <c:pt idx="7">
                    <c:v>V=15%</c:v>
                  </c:pt>
                  <c:pt idx="8">
                    <c:v>V=15%</c:v>
                  </c:pt>
                  <c:pt idx="9">
                    <c:v>V=15%</c:v>
                  </c:pt>
                  <c:pt idx="10">
                    <c:v>V=15%</c:v>
                  </c:pt>
                  <c:pt idx="11">
                    <c:v>V=15%</c:v>
                  </c:pt>
                  <c:pt idx="12">
                    <c:v>V=15%</c:v>
                  </c:pt>
                  <c:pt idx="13">
                    <c:v>V=15%</c:v>
                  </c:pt>
                  <c:pt idx="14">
                    <c:v>V=50%</c:v>
                  </c:pt>
                  <c:pt idx="15">
                    <c:v>V=50%</c:v>
                  </c:pt>
                  <c:pt idx="16">
                    <c:v>V=50%</c:v>
                  </c:pt>
                  <c:pt idx="17">
                    <c:v>V=50%</c:v>
                  </c:pt>
                  <c:pt idx="18">
                    <c:v>V=50%</c:v>
                  </c:pt>
                  <c:pt idx="19">
                    <c:v>V=50%</c:v>
                  </c:pt>
                  <c:pt idx="20">
                    <c:v>V=50%</c:v>
                  </c:pt>
                  <c:pt idx="21">
                    <c:v>V=50%</c:v>
                  </c:pt>
                  <c:pt idx="22">
                    <c:v>V=50%</c:v>
                  </c:pt>
                  <c:pt idx="23">
                    <c:v>V=50%</c:v>
                  </c:pt>
                  <c:pt idx="24">
                    <c:v>V=50%</c:v>
                  </c:pt>
                  <c:pt idx="25">
                    <c:v>V=50%</c:v>
                  </c:pt>
                  <c:pt idx="26">
                    <c:v>V=50%</c:v>
                  </c:pt>
                  <c:pt idx="27">
                    <c:v>V=50%</c:v>
                  </c:pt>
                  <c:pt idx="28">
                    <c:v>V=50%</c:v>
                  </c:pt>
                  <c:pt idx="29">
                    <c:v>V=50%</c:v>
                  </c:pt>
                  <c:pt idx="30">
                    <c:v>V=50%</c:v>
                  </c:pt>
                  <c:pt idx="31">
                    <c:v>V=85%</c:v>
                  </c:pt>
                  <c:pt idx="32">
                    <c:v>V=85%</c:v>
                  </c:pt>
                  <c:pt idx="33">
                    <c:v>V=85%</c:v>
                  </c:pt>
                  <c:pt idx="34">
                    <c:v>V=85%</c:v>
                  </c:pt>
                  <c:pt idx="35">
                    <c:v>V=85%</c:v>
                  </c:pt>
                  <c:pt idx="36">
                    <c:v>V=85%</c:v>
                  </c:pt>
                  <c:pt idx="37">
                    <c:v>V=85%</c:v>
                  </c:pt>
                  <c:pt idx="38">
                    <c:v>V=85%</c:v>
                  </c:pt>
                  <c:pt idx="39">
                    <c:v>V=85%</c:v>
                  </c:pt>
                  <c:pt idx="40">
                    <c:v>V=85%</c:v>
                  </c:pt>
                  <c:pt idx="41">
                    <c:v>V=85%</c:v>
                  </c:pt>
                  <c:pt idx="42">
                    <c:v>V=85%</c:v>
                  </c:pt>
                  <c:pt idx="43">
                    <c:v>V=85%</c:v>
                  </c:pt>
                  <c:pt idx="44">
                    <c:v>V=85%</c:v>
                  </c:pt>
                  <c:pt idx="45">
                    <c:v>V=85%</c:v>
                  </c:pt>
                  <c:pt idx="46">
                    <c:v>V=85%</c:v>
                  </c:pt>
                </c15:dlblRangeCache>
              </c15:datalabelsRange>
            </c:ext>
            <c:ext xmlns:c16="http://schemas.microsoft.com/office/drawing/2014/chart" uri="{C3380CC4-5D6E-409C-BE32-E72D297353CC}">
              <c16:uniqueId val="{00000000-35FD-4AB0-98F1-F40C00B30C4A}"/>
            </c:ext>
          </c:extLst>
        </c:ser>
        <c:ser>
          <c:idx val="1"/>
          <c:order val="1"/>
          <c:tx>
            <c:v>Irms_PSCAD</c:v>
          </c:tx>
          <c:spPr>
            <a:ln w="31750" cap="rnd">
              <a:solidFill>
                <a:schemeClr val="accent2"/>
              </a:solidFill>
              <a:round/>
            </a:ln>
            <a:effectLst/>
          </c:spPr>
          <c:marker>
            <c:symbol val="none"/>
          </c:marker>
          <c:val>
            <c:numRef>
              <c:f>'Dynamic Data-RE'!$H$10:$H$56</c:f>
              <c:numCache>
                <c:formatCode>0.00%</c:formatCode>
                <c:ptCount val="47"/>
                <c:pt idx="0" formatCode="General">
                  <c:v>0.2747</c:v>
                </c:pt>
                <c:pt idx="1">
                  <c:v>0.26900000000000002</c:v>
                </c:pt>
                <c:pt idx="2" formatCode="General">
                  <c:v>0.86729999999999996</c:v>
                </c:pt>
                <c:pt idx="3" formatCode="General">
                  <c:v>0.87</c:v>
                </c:pt>
                <c:pt idx="4" formatCode="General">
                  <c:v>0.44180000000000003</c:v>
                </c:pt>
                <c:pt idx="5" formatCode="0.00">
                  <c:v>0.94269999999999998</c:v>
                </c:pt>
                <c:pt idx="6">
                  <c:v>0.95120000000000005</c:v>
                </c:pt>
                <c:pt idx="7" formatCode="General">
                  <c:v>0.29149999999999998</c:v>
                </c:pt>
                <c:pt idx="8" formatCode="General">
                  <c:v>1.0899999999999999</c:v>
                </c:pt>
                <c:pt idx="9" formatCode="General">
                  <c:v>0</c:v>
                </c:pt>
                <c:pt idx="10" formatCode="General">
                  <c:v>0</c:v>
                </c:pt>
                <c:pt idx="11" formatCode="General">
                  <c:v>0</c:v>
                </c:pt>
                <c:pt idx="12" formatCode="General">
                  <c:v>0</c:v>
                </c:pt>
                <c:pt idx="13" formatCode="0.0000">
                  <c:v>0.12</c:v>
                </c:pt>
                <c:pt idx="14" formatCode="General">
                  <c:v>0.32579999999999998</c:v>
                </c:pt>
                <c:pt idx="15" formatCode="General">
                  <c:v>0.32679999999999998</c:v>
                </c:pt>
                <c:pt idx="16" formatCode="General">
                  <c:v>0.27400000000000002</c:v>
                </c:pt>
                <c:pt idx="17" formatCode="General">
                  <c:v>0.27300000000000002</c:v>
                </c:pt>
                <c:pt idx="18" formatCode="General">
                  <c:v>0.26900000000000002</c:v>
                </c:pt>
                <c:pt idx="19" formatCode="General">
                  <c:v>0.45540000000000003</c:v>
                </c:pt>
                <c:pt idx="20" formatCode="General">
                  <c:v>0.46</c:v>
                </c:pt>
                <c:pt idx="21" formatCode="General">
                  <c:v>0.94</c:v>
                </c:pt>
                <c:pt idx="22" formatCode="0.00">
                  <c:v>0.93840000000000001</c:v>
                </c:pt>
                <c:pt idx="23">
                  <c:v>0.95</c:v>
                </c:pt>
                <c:pt idx="24" formatCode="General">
                  <c:v>0.29189999999999999</c:v>
                </c:pt>
                <c:pt idx="25" formatCode="General">
                  <c:v>1.0900000000000001</c:v>
                </c:pt>
                <c:pt idx="26" formatCode="General">
                  <c:v>0</c:v>
                </c:pt>
                <c:pt idx="27" formatCode="General">
                  <c:v>0</c:v>
                </c:pt>
                <c:pt idx="28" formatCode="General">
                  <c:v>0</c:v>
                </c:pt>
                <c:pt idx="29" formatCode="General">
                  <c:v>0</c:v>
                </c:pt>
                <c:pt idx="30" formatCode="General">
                  <c:v>0.34599999999999997</c:v>
                </c:pt>
                <c:pt idx="31" formatCode="General">
                  <c:v>3.2599999999999997E-2</c:v>
                </c:pt>
                <c:pt idx="32" formatCode="General">
                  <c:v>3.6299999999999999E-2</c:v>
                </c:pt>
                <c:pt idx="33" formatCode="General">
                  <c:v>0.27</c:v>
                </c:pt>
                <c:pt idx="34" formatCode="General">
                  <c:v>0.27329999999999999</c:v>
                </c:pt>
                <c:pt idx="35" formatCode="General">
                  <c:v>0.26929999999999998</c:v>
                </c:pt>
                <c:pt idx="36" formatCode="General">
                  <c:v>0.04</c:v>
                </c:pt>
                <c:pt idx="37" formatCode="General">
                  <c:v>0.04</c:v>
                </c:pt>
                <c:pt idx="38" formatCode="General">
                  <c:v>0.94840000000000002</c:v>
                </c:pt>
                <c:pt idx="39" formatCode="0.00">
                  <c:v>0.94689999999999996</c:v>
                </c:pt>
                <c:pt idx="40">
                  <c:v>0.95140000000000002</c:v>
                </c:pt>
                <c:pt idx="41" formatCode="General">
                  <c:v>0.3</c:v>
                </c:pt>
                <c:pt idx="42" formatCode="General">
                  <c:v>1.0900000000000001</c:v>
                </c:pt>
                <c:pt idx="43" formatCode="General">
                  <c:v>0</c:v>
                </c:pt>
                <c:pt idx="44" formatCode="General">
                  <c:v>0</c:v>
                </c:pt>
                <c:pt idx="45" formatCode="General">
                  <c:v>0</c:v>
                </c:pt>
                <c:pt idx="46" formatCode="General">
                  <c:v>0</c:v>
                </c:pt>
              </c:numCache>
            </c:numRef>
          </c:val>
          <c:extLst>
            <c:ext xmlns:c16="http://schemas.microsoft.com/office/drawing/2014/chart" uri="{C3380CC4-5D6E-409C-BE32-E72D297353CC}">
              <c16:uniqueId val="{00000001-35FD-4AB0-98F1-F40C00B30C4A}"/>
            </c:ext>
          </c:extLst>
        </c:ser>
        <c:ser>
          <c:idx val="2"/>
          <c:order val="2"/>
          <c:tx>
            <c:v>IRMS_Upper_lim</c:v>
          </c:tx>
          <c:spPr>
            <a:ln w="31750" cap="rnd">
              <a:solidFill>
                <a:schemeClr val="accent3"/>
              </a:solidFill>
              <a:round/>
            </a:ln>
            <a:effectLst/>
          </c:spPr>
          <c:marker>
            <c:symbol val="none"/>
          </c:marker>
          <c:val>
            <c:numRef>
              <c:f>'Dynamic Data-RE'!$J$10:$J$56</c:f>
              <c:numCache>
                <c:formatCode>General</c:formatCode>
                <c:ptCount val="47"/>
                <c:pt idx="0">
                  <c:v>1</c:v>
                </c:pt>
                <c:pt idx="1">
                  <c:v>90</c:v>
                </c:pt>
                <c:pt idx="2">
                  <c:v>1</c:v>
                </c:pt>
                <c:pt idx="3">
                  <c:v>1</c:v>
                </c:pt>
                <c:pt idx="4">
                  <c:v>1</c:v>
                </c:pt>
                <c:pt idx="5">
                  <c:v>1</c:v>
                </c:pt>
                <c:pt idx="6">
                  <c:v>90</c:v>
                </c:pt>
                <c:pt idx="7">
                  <c:v>1</c:v>
                </c:pt>
                <c:pt idx="8">
                  <c:v>1</c:v>
                </c:pt>
                <c:pt idx="9">
                  <c:v>1</c:v>
                </c:pt>
                <c:pt idx="10">
                  <c:v>1</c:v>
                </c:pt>
                <c:pt idx="11">
                  <c:v>1</c:v>
                </c:pt>
                <c:pt idx="12">
                  <c:v>1</c:v>
                </c:pt>
                <c:pt idx="13">
                  <c:v>1</c:v>
                </c:pt>
                <c:pt idx="14">
                  <c:v>1</c:v>
                </c:pt>
                <c:pt idx="15">
                  <c:v>1</c:v>
                </c:pt>
                <c:pt idx="16">
                  <c:v>1</c:v>
                </c:pt>
                <c:pt idx="17">
                  <c:v>1</c:v>
                </c:pt>
                <c:pt idx="18">
                  <c:v>90</c:v>
                </c:pt>
                <c:pt idx="19">
                  <c:v>1</c:v>
                </c:pt>
                <c:pt idx="20">
                  <c:v>1</c:v>
                </c:pt>
                <c:pt idx="21">
                  <c:v>1</c:v>
                </c:pt>
                <c:pt idx="22">
                  <c:v>1</c:v>
                </c:pt>
                <c:pt idx="23">
                  <c:v>90</c:v>
                </c:pt>
                <c:pt idx="24">
                  <c:v>1</c:v>
                </c:pt>
                <c:pt idx="25">
                  <c:v>1</c:v>
                </c:pt>
                <c:pt idx="26">
                  <c:v>1</c:v>
                </c:pt>
                <c:pt idx="27">
                  <c:v>1</c:v>
                </c:pt>
                <c:pt idx="28">
                  <c:v>1</c:v>
                </c:pt>
                <c:pt idx="29">
                  <c:v>1</c:v>
                </c:pt>
                <c:pt idx="30">
                  <c:v>1</c:v>
                </c:pt>
                <c:pt idx="31">
                  <c:v>1</c:v>
                </c:pt>
                <c:pt idx="32">
                  <c:v>1</c:v>
                </c:pt>
                <c:pt idx="33">
                  <c:v>1</c:v>
                </c:pt>
                <c:pt idx="34">
                  <c:v>1</c:v>
                </c:pt>
                <c:pt idx="35">
                  <c:v>90</c:v>
                </c:pt>
                <c:pt idx="36">
                  <c:v>1</c:v>
                </c:pt>
                <c:pt idx="37">
                  <c:v>1</c:v>
                </c:pt>
                <c:pt idx="38">
                  <c:v>1</c:v>
                </c:pt>
                <c:pt idx="39">
                  <c:v>1</c:v>
                </c:pt>
                <c:pt idx="40">
                  <c:v>90</c:v>
                </c:pt>
                <c:pt idx="41">
                  <c:v>1</c:v>
                </c:pt>
                <c:pt idx="42">
                  <c:v>1</c:v>
                </c:pt>
                <c:pt idx="43">
                  <c:v>1</c:v>
                </c:pt>
                <c:pt idx="44">
                  <c:v>1</c:v>
                </c:pt>
                <c:pt idx="45">
                  <c:v>1</c:v>
                </c:pt>
                <c:pt idx="46">
                  <c:v>1</c:v>
                </c:pt>
              </c:numCache>
            </c:numRef>
          </c:val>
          <c:extLst>
            <c:ext xmlns:c16="http://schemas.microsoft.com/office/drawing/2014/chart" uri="{C3380CC4-5D6E-409C-BE32-E72D297353CC}">
              <c16:uniqueId val="{00000001-8593-4C47-A66C-3A8B188AFE40}"/>
            </c:ext>
          </c:extLst>
        </c:ser>
        <c:dLbls>
          <c:showLegendKey val="0"/>
          <c:showVal val="0"/>
          <c:showCatName val="0"/>
          <c:showSerName val="0"/>
          <c:showPercent val="0"/>
          <c:showBubbleSize val="0"/>
        </c:dLbls>
        <c:axId val="812948704"/>
        <c:axId val="812941984"/>
      </c:radarChart>
      <c:catAx>
        <c:axId val="812948704"/>
        <c:scaling>
          <c:orientation val="minMax"/>
        </c:scaling>
        <c:delete val="1"/>
        <c:axPos val="b"/>
        <c:numFmt formatCode="General" sourceLinked="1"/>
        <c:majorTickMark val="none"/>
        <c:minorTickMark val="none"/>
        <c:tickLblPos val="nextTo"/>
        <c:crossAx val="812941984"/>
        <c:crosses val="autoZero"/>
        <c:auto val="1"/>
        <c:lblAlgn val="ctr"/>
        <c:lblOffset val="100"/>
        <c:noMultiLvlLbl val="0"/>
      </c:catAx>
      <c:valAx>
        <c:axId val="812941984"/>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crossAx val="8129487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20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baseline="0">
                <a:solidFill>
                  <a:schemeClr val="tx2"/>
                </a:solidFill>
                <a:latin typeface="+mn-lt"/>
                <a:ea typeface="+mn-ea"/>
                <a:cs typeface="+mn-cs"/>
              </a:defRPr>
            </a:pPr>
            <a:r>
              <a:rPr lang="en-IN" sz="2400"/>
              <a:t>HVRT_Id_3PH</a:t>
            </a:r>
          </a:p>
          <a:p>
            <a:pPr>
              <a:defRPr sz="2400"/>
            </a:pPr>
            <a:r>
              <a:rPr lang="en-IN" sz="2400"/>
              <a:t>INV/WTG/PCS</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2"/>
              </a:solidFill>
              <a:latin typeface="+mn-lt"/>
              <a:ea typeface="+mn-ea"/>
              <a:cs typeface="+mn-cs"/>
            </a:defRPr>
          </a:pPr>
          <a:endParaRPr lang="en-US"/>
        </a:p>
      </c:txPr>
    </c:title>
    <c:autoTitleDeleted val="0"/>
    <c:plotArea>
      <c:layout/>
      <c:radarChart>
        <c:radarStyle val="marker"/>
        <c:varyColors val="0"/>
        <c:ser>
          <c:idx val="0"/>
          <c:order val="0"/>
          <c:tx>
            <c:v>Id_PSSE</c:v>
          </c:tx>
          <c:spPr>
            <a:ln w="31750" cap="rnd">
              <a:solidFill>
                <a:schemeClr val="accent1"/>
              </a:solidFill>
              <a:round/>
            </a:ln>
            <a:effectLst/>
          </c:spPr>
          <c:marker>
            <c:symbol val="none"/>
          </c:marker>
          <c:dLbls>
            <c:dLbl>
              <c:idx val="0"/>
              <c:tx>
                <c:rich>
                  <a:bodyPr/>
                  <a:lstStyle/>
                  <a:p>
                    <a:fld id="{3ACC7B73-C5AF-4CAE-9DAA-CF5928D232D5}" type="CELLRANGE">
                      <a:rPr lang="en-IN"/>
                      <a:pPr/>
                      <a:t>[CELLRANGE]</a:t>
                    </a:fld>
                    <a:r>
                      <a:rPr lang="en-IN" baseline="0"/>
                      <a:t>, </a:t>
                    </a:r>
                    <a:fld id="{26DFA4C5-64CA-4B70-9C82-424A564CB195}" type="CATEGORYNAME">
                      <a:rPr lang="en-IN" baseline="0"/>
                      <a:pPr/>
                      <a:t>[CATEGORY NAME]</a:t>
                    </a:fld>
                    <a:r>
                      <a:rPr lang="en-IN" baseline="0"/>
                      <a:t>, </a:t>
                    </a:r>
                    <a:fld id="{89CD0F0A-2EAE-4393-89BB-82252690150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9DF-45AD-AD8D-58475B483CE3}"/>
                </c:ext>
              </c:extLst>
            </c:dLbl>
            <c:dLbl>
              <c:idx val="1"/>
              <c:tx>
                <c:rich>
                  <a:bodyPr/>
                  <a:lstStyle/>
                  <a:p>
                    <a:fld id="{A7B66C6D-5337-49C0-A19B-F0718EC57993}" type="CELLRANGE">
                      <a:rPr lang="en-IN"/>
                      <a:pPr/>
                      <a:t>[CELLRANGE]</a:t>
                    </a:fld>
                    <a:r>
                      <a:rPr lang="en-IN" baseline="0"/>
                      <a:t>, </a:t>
                    </a:r>
                    <a:fld id="{BB338AD3-0A05-4058-BDB6-451FBE6B88E3}" type="CATEGORYNAME">
                      <a:rPr lang="en-IN" baseline="0"/>
                      <a:pPr/>
                      <a:t>[CATEGORY NAME]</a:t>
                    </a:fld>
                    <a:r>
                      <a:rPr lang="en-IN" baseline="0"/>
                      <a:t>, </a:t>
                    </a:r>
                    <a:fld id="{037EA0D7-BBD5-4A57-88DD-8B1CE216CF4C}"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9DF-45AD-AD8D-58475B483CE3}"/>
                </c:ext>
              </c:extLst>
            </c:dLbl>
            <c:dLbl>
              <c:idx val="2"/>
              <c:layout>
                <c:manualLayout>
                  <c:x val="-9.924836010461538E-2"/>
                  <c:y val="6.7368625596280735E-2"/>
                </c:manualLayout>
              </c:layout>
              <c:tx>
                <c:rich>
                  <a:bodyPr/>
                  <a:lstStyle/>
                  <a:p>
                    <a:fld id="{C5DC2DF7-5284-49FA-80AF-D32B95570F29}" type="CELLRANGE">
                      <a:rPr lang="en-US" baseline="0"/>
                      <a:pPr/>
                      <a:t>[CELLRANGE]</a:t>
                    </a:fld>
                    <a:r>
                      <a:rPr lang="en-US" baseline="0"/>
                      <a:t>, </a:t>
                    </a:r>
                    <a:fld id="{FA01D27E-D746-4E92-B12B-DE063557DA82}" type="CATEGORYNAME">
                      <a:rPr lang="en-US" baseline="0"/>
                      <a:pPr/>
                      <a:t>[CATEGORY NAME]</a:t>
                    </a:fld>
                    <a:r>
                      <a:rPr lang="en-US" baseline="0"/>
                      <a:t>, </a:t>
                    </a:r>
                    <a:fld id="{8BFED46B-5B31-4E0E-AE69-BB73CB8A9B43}"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9DF-45AD-AD8D-58475B483CE3}"/>
                </c:ext>
              </c:extLst>
            </c:dLbl>
            <c:dLbl>
              <c:idx val="3"/>
              <c:tx>
                <c:rich>
                  <a:bodyPr/>
                  <a:lstStyle/>
                  <a:p>
                    <a:fld id="{450A9711-EE3A-4E39-81FD-914C962DC6CA}" type="CELLRANGE">
                      <a:rPr lang="en-IN"/>
                      <a:pPr/>
                      <a:t>[CELLRANGE]</a:t>
                    </a:fld>
                    <a:r>
                      <a:rPr lang="en-IN" baseline="0"/>
                      <a:t>, </a:t>
                    </a:r>
                    <a:fld id="{9FED176C-9DCF-4FB7-8E30-16C1494F9BE3}" type="CATEGORYNAME">
                      <a:rPr lang="en-IN" baseline="0"/>
                      <a:pPr/>
                      <a:t>[CATEGORY NAME]</a:t>
                    </a:fld>
                    <a:r>
                      <a:rPr lang="en-IN" baseline="0"/>
                      <a:t>, </a:t>
                    </a:r>
                    <a:fld id="{2C927BB4-041A-4A77-BD49-C5C0D066C9E1}"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9DF-45AD-AD8D-58475B483CE3}"/>
                </c:ext>
              </c:extLst>
            </c:dLbl>
            <c:dLbl>
              <c:idx val="4"/>
              <c:tx>
                <c:rich>
                  <a:bodyPr/>
                  <a:lstStyle/>
                  <a:p>
                    <a:fld id="{E10814EF-76C3-428F-B4A0-D8FF2A7A3A1B}" type="CELLRANGE">
                      <a:rPr lang="en-IN"/>
                      <a:pPr/>
                      <a:t>[CELLRANGE]</a:t>
                    </a:fld>
                    <a:r>
                      <a:rPr lang="en-IN" baseline="0"/>
                      <a:t>, </a:t>
                    </a:r>
                    <a:fld id="{69580DB2-5A10-46EB-BA8E-E65F0C3849D7}" type="CATEGORYNAME">
                      <a:rPr lang="en-IN" baseline="0"/>
                      <a:pPr/>
                      <a:t>[CATEGORY NAME]</a:t>
                    </a:fld>
                    <a:r>
                      <a:rPr lang="en-IN" baseline="0"/>
                      <a:t>, </a:t>
                    </a:r>
                    <a:fld id="{158D81D0-FC43-41EE-B9C5-F9CB782371D8}"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9DF-45AD-AD8D-58475B483CE3}"/>
                </c:ext>
              </c:extLst>
            </c:dLbl>
            <c:dLbl>
              <c:idx val="5"/>
              <c:tx>
                <c:rich>
                  <a:bodyPr/>
                  <a:lstStyle/>
                  <a:p>
                    <a:fld id="{A5F230F8-22EC-4C8C-9B3C-458A0ECA2BD7}" type="CELLRANGE">
                      <a:rPr lang="en-IN"/>
                      <a:pPr/>
                      <a:t>[CELLRANGE]</a:t>
                    </a:fld>
                    <a:r>
                      <a:rPr lang="en-IN" baseline="0"/>
                      <a:t>, </a:t>
                    </a:r>
                    <a:fld id="{07B7955A-4E68-4872-83EF-1187C681317E}" type="CATEGORYNAME">
                      <a:rPr lang="en-IN" baseline="0"/>
                      <a:pPr/>
                      <a:t>[CATEGORY NAME]</a:t>
                    </a:fld>
                    <a:r>
                      <a:rPr lang="en-IN" baseline="0"/>
                      <a:t>, </a:t>
                    </a:r>
                    <a:fld id="{BACE0E38-0712-4DCA-A89C-B1BCD432CC3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9DF-45AD-AD8D-58475B483CE3}"/>
                </c:ext>
              </c:extLst>
            </c:dLbl>
            <c:dLbl>
              <c:idx val="6"/>
              <c:tx>
                <c:rich>
                  <a:bodyPr/>
                  <a:lstStyle/>
                  <a:p>
                    <a:fld id="{C626205E-7307-4BD9-8A42-F67A0FFCBA57}" type="CELLRANGE">
                      <a:rPr lang="en-IN"/>
                      <a:pPr/>
                      <a:t>[CELLRANGE]</a:t>
                    </a:fld>
                    <a:r>
                      <a:rPr lang="en-IN" baseline="0"/>
                      <a:t>, </a:t>
                    </a:r>
                    <a:fld id="{C0C54F0D-8ADF-48F3-9DC1-D884847D9CFE}" type="CATEGORYNAME">
                      <a:rPr lang="en-IN" baseline="0"/>
                      <a:pPr/>
                      <a:t>[CATEGORY NAME]</a:t>
                    </a:fld>
                    <a:r>
                      <a:rPr lang="en-IN" baseline="0"/>
                      <a:t>, </a:t>
                    </a:r>
                    <a:fld id="{F2B9888A-8A4C-40FF-802F-65C27369D45C}"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9DF-45AD-AD8D-58475B483CE3}"/>
                </c:ext>
              </c:extLst>
            </c:dLbl>
            <c:dLbl>
              <c:idx val="7"/>
              <c:tx>
                <c:rich>
                  <a:bodyPr/>
                  <a:lstStyle/>
                  <a:p>
                    <a:fld id="{CB09CAED-D0DC-4C24-9A4C-6611DD07D934}" type="CELLRANGE">
                      <a:rPr lang="en-IN"/>
                      <a:pPr/>
                      <a:t>[CELLRANGE]</a:t>
                    </a:fld>
                    <a:r>
                      <a:rPr lang="en-IN" baseline="0"/>
                      <a:t>, </a:t>
                    </a:r>
                    <a:fld id="{58B2468D-8164-4EF9-8EE4-F7E19726AE15}" type="CATEGORYNAME">
                      <a:rPr lang="en-IN" baseline="0"/>
                      <a:pPr/>
                      <a:t>[CATEGORY NAME]</a:t>
                    </a:fld>
                    <a:r>
                      <a:rPr lang="en-IN" baseline="0"/>
                      <a:t>, </a:t>
                    </a:r>
                    <a:fld id="{A60A1F9C-8E8D-4F2D-BF9F-4651731BA46A}"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9DF-45AD-AD8D-58475B483CE3}"/>
                </c:ext>
              </c:extLst>
            </c:dLbl>
            <c:dLbl>
              <c:idx val="8"/>
              <c:tx>
                <c:rich>
                  <a:bodyPr/>
                  <a:lstStyle/>
                  <a:p>
                    <a:fld id="{40EA1194-DB39-4FEE-A35D-D5992D21DC64}" type="CELLRANGE">
                      <a:rPr lang="en-IN"/>
                      <a:pPr/>
                      <a:t>[CELLRANGE]</a:t>
                    </a:fld>
                    <a:r>
                      <a:rPr lang="en-IN" baseline="0"/>
                      <a:t>, </a:t>
                    </a:r>
                    <a:fld id="{59CA0024-EFED-4BA8-967E-0531AF79703B}" type="CATEGORYNAME">
                      <a:rPr lang="en-IN" baseline="0"/>
                      <a:pPr/>
                      <a:t>[CATEGORY NAME]</a:t>
                    </a:fld>
                    <a:r>
                      <a:rPr lang="en-IN" baseline="0"/>
                      <a:t>, </a:t>
                    </a:r>
                    <a:fld id="{0C8E816D-CC65-4CCC-83A8-DC27D43104F5}"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9DF-45AD-AD8D-58475B483CE3}"/>
                </c:ext>
              </c:extLst>
            </c:dLbl>
            <c:dLbl>
              <c:idx val="9"/>
              <c:tx>
                <c:rich>
                  <a:bodyPr/>
                  <a:lstStyle/>
                  <a:p>
                    <a:fld id="{C2002917-AB00-4BBB-8F75-B63B5758C23C}" type="CELLRANGE">
                      <a:rPr lang="en-IN"/>
                      <a:pPr/>
                      <a:t>[CELLRANGE]</a:t>
                    </a:fld>
                    <a:r>
                      <a:rPr lang="en-IN" baseline="0"/>
                      <a:t>, </a:t>
                    </a:r>
                    <a:fld id="{22AB5957-0186-4F68-B535-B94CAEAE3985}" type="CATEGORYNAME">
                      <a:rPr lang="en-IN" baseline="0"/>
                      <a:pPr/>
                      <a:t>[CATEGORY NAME]</a:t>
                    </a:fld>
                    <a:r>
                      <a:rPr lang="en-IN" baseline="0"/>
                      <a:t>, </a:t>
                    </a:r>
                    <a:fld id="{3CAB970F-F958-412B-9073-F5297D82BC18}"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24F-49A1-AF4E-37E7E56D941F}"/>
                </c:ext>
              </c:extLst>
            </c:dLbl>
            <c:dLbl>
              <c:idx val="10"/>
              <c:tx>
                <c:rich>
                  <a:bodyPr/>
                  <a:lstStyle/>
                  <a:p>
                    <a:fld id="{0B44D2C5-E116-4075-918B-243609567F1B}" type="CELLRANGE">
                      <a:rPr lang="en-IN"/>
                      <a:pPr/>
                      <a:t>[CELLRANGE]</a:t>
                    </a:fld>
                    <a:r>
                      <a:rPr lang="en-IN" baseline="0"/>
                      <a:t>, </a:t>
                    </a:r>
                    <a:fld id="{0C34891B-5AB1-4FB7-A2E1-560F43214E0D}" type="CATEGORYNAME">
                      <a:rPr lang="en-IN" baseline="0"/>
                      <a:pPr/>
                      <a:t>[CATEGORY NAME]</a:t>
                    </a:fld>
                    <a:r>
                      <a:rPr lang="en-IN" baseline="0"/>
                      <a:t>, </a:t>
                    </a:r>
                    <a:fld id="{A5585B5B-2CE5-4703-8A23-41681E80A296}"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177-4790-91B8-D3F6286A9598}"/>
                </c:ext>
              </c:extLst>
            </c:dLbl>
            <c:dLbl>
              <c:idx val="11"/>
              <c:tx>
                <c:rich>
                  <a:bodyPr/>
                  <a:lstStyle/>
                  <a:p>
                    <a:fld id="{1168CFB6-BE79-4BA0-A75E-01C6EE62FB2C}" type="CELLRANGE">
                      <a:rPr lang="en-IN"/>
                      <a:pPr/>
                      <a:t>[CELLRANGE]</a:t>
                    </a:fld>
                    <a:r>
                      <a:rPr lang="en-IN" baseline="0"/>
                      <a:t>, </a:t>
                    </a:r>
                    <a:fld id="{3AA019CE-992D-4F6F-9085-17F12FF3E2C0}" type="CATEGORYNAME">
                      <a:rPr lang="en-IN" baseline="0"/>
                      <a:pPr/>
                      <a:t>[CATEGORY NAME]</a:t>
                    </a:fld>
                    <a:r>
                      <a:rPr lang="en-IN" baseline="0"/>
                      <a:t>, </a:t>
                    </a:r>
                    <a:fld id="{6E4B41E5-2B39-42E3-A3B9-BB4D0255A978}"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177-4790-91B8-D3F6286A9598}"/>
                </c:ext>
              </c:extLst>
            </c:dLbl>
            <c:dLbl>
              <c:idx val="12"/>
              <c:tx>
                <c:rich>
                  <a:bodyPr/>
                  <a:lstStyle/>
                  <a:p>
                    <a:fld id="{ECF519B2-049D-4A7C-830F-6C210CA85B11}" type="CELLRANGE">
                      <a:rPr lang="en-IN"/>
                      <a:pPr/>
                      <a:t>[CELLRANGE]</a:t>
                    </a:fld>
                    <a:r>
                      <a:rPr lang="en-IN" baseline="0"/>
                      <a:t>, </a:t>
                    </a:r>
                    <a:fld id="{01367831-E993-4598-8E4D-7747F8A0889F}" type="CATEGORYNAME">
                      <a:rPr lang="en-IN" baseline="0"/>
                      <a:pPr/>
                      <a:t>[CATEGORY NAME]</a:t>
                    </a:fld>
                    <a:r>
                      <a:rPr lang="en-IN" baseline="0"/>
                      <a:t>, </a:t>
                    </a:r>
                    <a:fld id="{D8BBC275-9F1E-476F-A3C9-867A528422E6}"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177-4790-91B8-D3F6286A9598}"/>
                </c:ext>
              </c:extLst>
            </c:dLbl>
            <c:dLbl>
              <c:idx val="13"/>
              <c:tx>
                <c:rich>
                  <a:bodyPr/>
                  <a:lstStyle/>
                  <a:p>
                    <a:fld id="{1CFF18F2-6097-4CD2-B011-941084FC2943}" type="CELLRANGE">
                      <a:rPr lang="en-IN"/>
                      <a:pPr/>
                      <a:t>[CELLRANGE]</a:t>
                    </a:fld>
                    <a:r>
                      <a:rPr lang="en-IN" baseline="0"/>
                      <a:t>, </a:t>
                    </a:r>
                    <a:fld id="{1B724219-EED5-4727-8070-FFA5A35AE7A5}" type="CATEGORYNAME">
                      <a:rPr lang="en-IN" baseline="0"/>
                      <a:pPr/>
                      <a:t>[CATEGORY NAME]</a:t>
                    </a:fld>
                    <a:r>
                      <a:rPr lang="en-IN" baseline="0"/>
                      <a:t>, </a:t>
                    </a:r>
                    <a:fld id="{02B620FF-3FB5-4148-9232-CC196C88A7C7}"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177-4790-91B8-D3F6286A9598}"/>
                </c:ext>
              </c:extLst>
            </c:dLbl>
            <c:dLbl>
              <c:idx val="14"/>
              <c:tx>
                <c:rich>
                  <a:bodyPr/>
                  <a:lstStyle/>
                  <a:p>
                    <a:fld id="{11BAD2C4-091F-4AFC-9A0F-A60B7AD84137}" type="CELLRANGE">
                      <a:rPr lang="en-IN"/>
                      <a:pPr/>
                      <a:t>[CELLRANGE]</a:t>
                    </a:fld>
                    <a:r>
                      <a:rPr lang="en-IN" baseline="0"/>
                      <a:t>, </a:t>
                    </a:r>
                    <a:fld id="{01320ACA-613A-4FF7-8031-E0E991085789}" type="CATEGORYNAME">
                      <a:rPr lang="en-IN" baseline="0"/>
                      <a:pPr/>
                      <a:t>[CATEGORY NAME]</a:t>
                    </a:fld>
                    <a:r>
                      <a:rPr lang="en-IN" baseline="0"/>
                      <a:t>, </a:t>
                    </a:r>
                    <a:fld id="{CD236277-53F8-42C2-8A9D-EBF2E86F5E8C}"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177-4790-91B8-D3F6286A9598}"/>
                </c:ext>
              </c:extLst>
            </c:dLbl>
            <c:dLbl>
              <c:idx val="15"/>
              <c:tx>
                <c:rich>
                  <a:bodyPr/>
                  <a:lstStyle/>
                  <a:p>
                    <a:fld id="{83C08502-B381-45A7-9C25-D99341489AB0}" type="CELLRANGE">
                      <a:rPr lang="en-IN"/>
                      <a:pPr/>
                      <a:t>[CELLRANGE]</a:t>
                    </a:fld>
                    <a:r>
                      <a:rPr lang="en-IN" baseline="0"/>
                      <a:t>, </a:t>
                    </a:r>
                    <a:fld id="{76531B0A-43E3-46AE-9018-34D0FD5704F4}" type="CATEGORYNAME">
                      <a:rPr lang="en-IN" baseline="0"/>
                      <a:pPr/>
                      <a:t>[CATEGORY NAME]</a:t>
                    </a:fld>
                    <a:r>
                      <a:rPr lang="en-IN" baseline="0"/>
                      <a:t>, </a:t>
                    </a:r>
                    <a:fld id="{45F68BA1-8B6E-4268-ABB0-C19EDCC3B883}"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177-4790-91B8-D3F6286A9598}"/>
                </c:ext>
              </c:extLst>
            </c:dLbl>
            <c:dLbl>
              <c:idx val="16"/>
              <c:tx>
                <c:rich>
                  <a:bodyPr/>
                  <a:lstStyle/>
                  <a:p>
                    <a:fld id="{DAF63FF8-F2A7-4F1B-902D-B1FA8B093E76}" type="CELLRANGE">
                      <a:rPr lang="en-IN"/>
                      <a:pPr/>
                      <a:t>[CELLRANGE]</a:t>
                    </a:fld>
                    <a:r>
                      <a:rPr lang="en-IN" baseline="0"/>
                      <a:t>, </a:t>
                    </a:r>
                    <a:fld id="{71FF7E37-E4E1-430A-8423-DC8B001FE075}" type="CATEGORYNAME">
                      <a:rPr lang="en-IN" baseline="0"/>
                      <a:pPr/>
                      <a:t>[CATEGORY NAME]</a:t>
                    </a:fld>
                    <a:r>
                      <a:rPr lang="en-IN" baseline="0"/>
                      <a:t>, </a:t>
                    </a:r>
                    <a:fld id="{3FAC5244-4F91-43C8-9102-1584B52D30C7}"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177-4790-91B8-D3F6286A9598}"/>
                </c:ext>
              </c:extLst>
            </c:dLbl>
            <c:dLbl>
              <c:idx val="17"/>
              <c:tx>
                <c:rich>
                  <a:bodyPr/>
                  <a:lstStyle/>
                  <a:p>
                    <a:fld id="{945183E3-2D2D-4BCE-B68F-1034FD0D9FC6}" type="CELLRANGE">
                      <a:rPr lang="en-IN"/>
                      <a:pPr/>
                      <a:t>[CELLRANGE]</a:t>
                    </a:fld>
                    <a:r>
                      <a:rPr lang="en-IN" baseline="0"/>
                      <a:t>, </a:t>
                    </a:r>
                    <a:fld id="{AC4BCE73-312E-476D-8414-09A482B99D81}" type="CATEGORYNAME">
                      <a:rPr lang="en-IN" baseline="0"/>
                      <a:pPr/>
                      <a:t>[CATEGORY NAME]</a:t>
                    </a:fld>
                    <a:r>
                      <a:rPr lang="en-IN" baseline="0"/>
                      <a:t>, </a:t>
                    </a:r>
                    <a:fld id="{3F7C0D7C-3282-4083-AFD0-1C386EE08F1F}"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177-4790-91B8-D3F6286A9598}"/>
                </c:ext>
              </c:extLst>
            </c:dLbl>
            <c:dLbl>
              <c:idx val="18"/>
              <c:tx>
                <c:rich>
                  <a:bodyPr/>
                  <a:lstStyle/>
                  <a:p>
                    <a:fld id="{C5514B30-3073-44F6-9946-9042863E0725}" type="CELLRANGE">
                      <a:rPr lang="en-IN"/>
                      <a:pPr/>
                      <a:t>[CELLRANGE]</a:t>
                    </a:fld>
                    <a:r>
                      <a:rPr lang="en-IN" baseline="0"/>
                      <a:t>, </a:t>
                    </a:r>
                    <a:fld id="{02F97CEF-1A71-4B3A-BA90-1076D2BAAC52}" type="CATEGORYNAME">
                      <a:rPr lang="en-IN" baseline="0"/>
                      <a:pPr/>
                      <a:t>[CATEGORY NAME]</a:t>
                    </a:fld>
                    <a:r>
                      <a:rPr lang="en-IN" baseline="0"/>
                      <a:t>, </a:t>
                    </a:r>
                    <a:fld id="{67EF6836-300C-46D7-AD23-FF3D2A267FCA}"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177-4790-91B8-D3F6286A9598}"/>
                </c:ext>
              </c:extLst>
            </c:dLbl>
            <c:dLbl>
              <c:idx val="19"/>
              <c:tx>
                <c:rich>
                  <a:bodyPr/>
                  <a:lstStyle/>
                  <a:p>
                    <a:fld id="{51B7D038-F47C-432F-B2D3-FCFFBA7AA806}" type="CELLRANGE">
                      <a:rPr lang="en-IN"/>
                      <a:pPr/>
                      <a:t>[CELLRANGE]</a:t>
                    </a:fld>
                    <a:r>
                      <a:rPr lang="en-IN" baseline="0"/>
                      <a:t>, </a:t>
                    </a:r>
                    <a:fld id="{61C0A0A0-5C46-4E77-A7BC-82643F6415EE}" type="CATEGORYNAME">
                      <a:rPr lang="en-IN" baseline="0"/>
                      <a:pPr/>
                      <a:t>[CATEGORY NAME]</a:t>
                    </a:fld>
                    <a:r>
                      <a:rPr lang="en-IN" baseline="0"/>
                      <a:t>, </a:t>
                    </a:r>
                    <a:fld id="{129BC56B-E599-49E7-92EB-57ABCB0B2C31}"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177-4790-91B8-D3F6286A9598}"/>
                </c:ext>
              </c:extLst>
            </c:dLbl>
            <c:dLbl>
              <c:idx val="20"/>
              <c:tx>
                <c:rich>
                  <a:bodyPr/>
                  <a:lstStyle/>
                  <a:p>
                    <a:fld id="{EEC6AB13-732C-465B-BF33-D3BA1F8C0E25}" type="CELLRANGE">
                      <a:rPr lang="en-IN"/>
                      <a:pPr/>
                      <a:t>[CELLRANGE]</a:t>
                    </a:fld>
                    <a:r>
                      <a:rPr lang="en-IN" baseline="0"/>
                      <a:t>, </a:t>
                    </a:r>
                    <a:fld id="{37D6E7F2-AF4C-4704-B9AB-C6DD3351E851}" type="CATEGORYNAME">
                      <a:rPr lang="en-IN" baseline="0"/>
                      <a:pPr/>
                      <a:t>[CATEGORY NAME]</a:t>
                    </a:fld>
                    <a:r>
                      <a:rPr lang="en-IN" baseline="0"/>
                      <a:t>, </a:t>
                    </a:r>
                    <a:fld id="{29826362-DC24-44A2-AF58-494988E0DBD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177-4790-91B8-D3F6286A9598}"/>
                </c:ext>
              </c:extLst>
            </c:dLbl>
            <c:dLbl>
              <c:idx val="21"/>
              <c:tx>
                <c:rich>
                  <a:bodyPr/>
                  <a:lstStyle/>
                  <a:p>
                    <a:fld id="{398AEFEF-B743-4065-8F43-FA35663655D4}" type="CELLRANGE">
                      <a:rPr lang="en-IN"/>
                      <a:pPr/>
                      <a:t>[CELLRANGE]</a:t>
                    </a:fld>
                    <a:r>
                      <a:rPr lang="en-IN" baseline="0"/>
                      <a:t>, </a:t>
                    </a:r>
                    <a:fld id="{E3FDFA17-D422-45E1-B070-8DEA9DA0F115}" type="CATEGORYNAME">
                      <a:rPr lang="en-IN" baseline="0"/>
                      <a:pPr/>
                      <a:t>[CATEGORY NAME]</a:t>
                    </a:fld>
                    <a:r>
                      <a:rPr lang="en-IN" baseline="0"/>
                      <a:t>, </a:t>
                    </a:r>
                    <a:fld id="{927748ED-591A-4DCB-870C-01AA13C6058D}"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177-4790-91B8-D3F6286A9598}"/>
                </c:ext>
              </c:extLst>
            </c:dLbl>
            <c:dLbl>
              <c:idx val="22"/>
              <c:tx>
                <c:rich>
                  <a:bodyPr/>
                  <a:lstStyle/>
                  <a:p>
                    <a:fld id="{3D041995-1F02-42A1-BF65-F22165DF88C8}" type="CELLRANGE">
                      <a:rPr lang="en-IN"/>
                      <a:pPr/>
                      <a:t>[CELLRANGE]</a:t>
                    </a:fld>
                    <a:r>
                      <a:rPr lang="en-IN" baseline="0"/>
                      <a:t>, </a:t>
                    </a:r>
                    <a:fld id="{BA957B6B-C09E-4F47-8473-304A0778F5D4}" type="CATEGORYNAME">
                      <a:rPr lang="en-IN" baseline="0"/>
                      <a:pPr/>
                      <a:t>[CATEGORY NAME]</a:t>
                    </a:fld>
                    <a:r>
                      <a:rPr lang="en-IN" baseline="0"/>
                      <a:t>, </a:t>
                    </a:r>
                    <a:fld id="{A6CB2927-468B-4BD8-8E8E-5A147DB5E555}"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177-4790-91B8-D3F6286A9598}"/>
                </c:ext>
              </c:extLst>
            </c:dLbl>
            <c:dLbl>
              <c:idx val="23"/>
              <c:tx>
                <c:rich>
                  <a:bodyPr/>
                  <a:lstStyle/>
                  <a:p>
                    <a:fld id="{6D01F006-A95E-41F8-9AE6-27A3D7AB75D5}" type="CELLRANGE">
                      <a:rPr lang="en-IN"/>
                      <a:pPr/>
                      <a:t>[CELLRANGE]</a:t>
                    </a:fld>
                    <a:r>
                      <a:rPr lang="en-IN" baseline="0"/>
                      <a:t>, </a:t>
                    </a:r>
                    <a:fld id="{0E0F6BA4-624A-46EC-BBB5-84BAA8A97256}" type="CATEGORYNAME">
                      <a:rPr lang="en-IN" baseline="0"/>
                      <a:pPr/>
                      <a:t>[CATEGORY NAME]</a:t>
                    </a:fld>
                    <a:r>
                      <a:rPr lang="en-IN" baseline="0"/>
                      <a:t>, </a:t>
                    </a:r>
                    <a:fld id="{53185360-9BA4-41D1-AAE4-0C1D09244EC9}"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177-4790-91B8-D3F6286A9598}"/>
                </c:ext>
              </c:extLst>
            </c:dLbl>
            <c:dLbl>
              <c:idx val="24"/>
              <c:tx>
                <c:rich>
                  <a:bodyPr/>
                  <a:lstStyle/>
                  <a:p>
                    <a:fld id="{87B8BADE-667A-4FB0-8EB3-E52B8A784C46}" type="CELLRANGE">
                      <a:rPr lang="en-IN"/>
                      <a:pPr/>
                      <a:t>[CELLRANGE]</a:t>
                    </a:fld>
                    <a:r>
                      <a:rPr lang="en-IN" baseline="0"/>
                      <a:t>, </a:t>
                    </a:r>
                    <a:fld id="{4AAC3B3E-0823-4598-8EA9-0BCB7DC108A9}" type="CATEGORYNAME">
                      <a:rPr lang="en-IN" baseline="0"/>
                      <a:pPr/>
                      <a:t>[CATEGORY NAME]</a:t>
                    </a:fld>
                    <a:r>
                      <a:rPr lang="en-IN" baseline="0"/>
                      <a:t>, </a:t>
                    </a:r>
                    <a:fld id="{7F2E9DF4-90BC-433B-B44F-65BF2E57FD83}"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177-4790-91B8-D3F6286A9598}"/>
                </c:ext>
              </c:extLst>
            </c:dLbl>
            <c:dLbl>
              <c:idx val="25"/>
              <c:tx>
                <c:rich>
                  <a:bodyPr/>
                  <a:lstStyle/>
                  <a:p>
                    <a:fld id="{54146BD7-7A53-41E8-8F29-6E898D98E713}" type="CELLRANGE">
                      <a:rPr lang="en-IN"/>
                      <a:pPr/>
                      <a:t>[CELLRANGE]</a:t>
                    </a:fld>
                    <a:r>
                      <a:rPr lang="en-IN" baseline="0"/>
                      <a:t>, </a:t>
                    </a:r>
                    <a:fld id="{2C95BE11-F7C8-465C-B3FF-8D503C25B767}" type="CATEGORYNAME">
                      <a:rPr lang="en-IN" baseline="0"/>
                      <a:pPr/>
                      <a:t>[CATEGORY NAME]</a:t>
                    </a:fld>
                    <a:r>
                      <a:rPr lang="en-IN" baseline="0"/>
                      <a:t>, </a:t>
                    </a:r>
                    <a:fld id="{CBDD98FA-2648-4E5B-A5EF-A7B3DBA82D3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177-4790-91B8-D3F6286A9598}"/>
                </c:ext>
              </c:extLst>
            </c:dLbl>
            <c:dLbl>
              <c:idx val="26"/>
              <c:tx>
                <c:rich>
                  <a:bodyPr/>
                  <a:lstStyle/>
                  <a:p>
                    <a:fld id="{BF964067-6F5D-4390-AB98-A32C002A5787}" type="CELLRANGE">
                      <a:rPr lang="en-IN"/>
                      <a:pPr/>
                      <a:t>[CELLRANGE]</a:t>
                    </a:fld>
                    <a:r>
                      <a:rPr lang="en-IN" baseline="0"/>
                      <a:t>, </a:t>
                    </a:r>
                    <a:fld id="{3AC94186-F39B-48EF-A80D-CCEA4525A477}" type="CATEGORYNAME">
                      <a:rPr lang="en-IN" baseline="0"/>
                      <a:pPr/>
                      <a:t>[CATEGORY NAME]</a:t>
                    </a:fld>
                    <a:r>
                      <a:rPr lang="en-IN" baseline="0"/>
                      <a:t>, </a:t>
                    </a:r>
                    <a:fld id="{95F48236-C8F3-41B0-90AD-80A2567FF3BD}"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0177-4790-91B8-D3F6286A9598}"/>
                </c:ext>
              </c:extLst>
            </c:dLbl>
            <c:dLbl>
              <c:idx val="27"/>
              <c:tx>
                <c:rich>
                  <a:bodyPr/>
                  <a:lstStyle/>
                  <a:p>
                    <a:fld id="{FE2D59EA-E39F-4B3F-98CC-5A36EA4AB4C0}" type="CELLRANGE">
                      <a:rPr lang="en-IN"/>
                      <a:pPr/>
                      <a:t>[CELLRANGE]</a:t>
                    </a:fld>
                    <a:r>
                      <a:rPr lang="en-IN" baseline="0"/>
                      <a:t>, </a:t>
                    </a:r>
                    <a:fld id="{FCC0DC1A-AD56-4DB9-B081-67C6A8921F66}" type="CATEGORYNAME">
                      <a:rPr lang="en-IN" baseline="0"/>
                      <a:pPr/>
                      <a:t>[CATEGORY NAME]</a:t>
                    </a:fld>
                    <a:r>
                      <a:rPr lang="en-IN" baseline="0"/>
                      <a:t>, </a:t>
                    </a:r>
                    <a:fld id="{5C457C16-B799-453E-ABD6-B63AD124D1AD}"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177-4790-91B8-D3F6286A9598}"/>
                </c:ext>
              </c:extLst>
            </c:dLbl>
            <c:dLbl>
              <c:idx val="28"/>
              <c:tx>
                <c:rich>
                  <a:bodyPr/>
                  <a:lstStyle/>
                  <a:p>
                    <a:fld id="{C9CFC578-40DB-4FA5-B839-9BD30EA6CEE4}" type="CELLRANGE">
                      <a:rPr lang="en-IN"/>
                      <a:pPr/>
                      <a:t>[CELLRANGE]</a:t>
                    </a:fld>
                    <a:r>
                      <a:rPr lang="en-IN" baseline="0"/>
                      <a:t>, </a:t>
                    </a:r>
                    <a:fld id="{C2D27F64-895A-4312-BF2D-CC6604DB4FF5}" type="CATEGORYNAME">
                      <a:rPr lang="en-IN" baseline="0"/>
                      <a:pPr/>
                      <a:t>[CATEGORY NAME]</a:t>
                    </a:fld>
                    <a:r>
                      <a:rPr lang="en-IN" baseline="0"/>
                      <a:t>, </a:t>
                    </a:r>
                    <a:fld id="{4C1CD1D2-51DF-4D94-9A9A-04E65776EF08}"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0177-4790-91B8-D3F6286A9598}"/>
                </c:ext>
              </c:extLst>
            </c:dLbl>
            <c:dLbl>
              <c:idx val="29"/>
              <c:tx>
                <c:rich>
                  <a:bodyPr/>
                  <a:lstStyle/>
                  <a:p>
                    <a:fld id="{7E729C05-F78A-42C1-B7E8-2E72E388954E}" type="CELLRANGE">
                      <a:rPr lang="en-IN"/>
                      <a:pPr/>
                      <a:t>[CELLRANGE]</a:t>
                    </a:fld>
                    <a:r>
                      <a:rPr lang="en-IN" baseline="0"/>
                      <a:t>, </a:t>
                    </a:r>
                    <a:fld id="{651CFE24-2EC3-4CF9-AE7D-6045B5F168D5}" type="CATEGORYNAME">
                      <a:rPr lang="en-IN" baseline="0"/>
                      <a:pPr/>
                      <a:t>[CATEGORY NAME]</a:t>
                    </a:fld>
                    <a:r>
                      <a:rPr lang="en-IN" baseline="0"/>
                      <a:t>, </a:t>
                    </a:r>
                    <a:fld id="{31E08DC8-357A-4580-A5EA-8C99E516A608}"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177-4790-91B8-D3F6286A9598}"/>
                </c:ext>
              </c:extLst>
            </c:dLbl>
            <c:dLbl>
              <c:idx val="30"/>
              <c:tx>
                <c:rich>
                  <a:bodyPr/>
                  <a:lstStyle/>
                  <a:p>
                    <a:fld id="{EF78B354-C611-4D8A-9F49-AF385AEA6A39}" type="CELLRANGE">
                      <a:rPr lang="en-IN"/>
                      <a:pPr/>
                      <a:t>[CELLRANGE]</a:t>
                    </a:fld>
                    <a:r>
                      <a:rPr lang="en-IN" baseline="0"/>
                      <a:t>, </a:t>
                    </a:r>
                    <a:fld id="{2E5F45A0-9473-4032-8874-C04628FFB9AA}" type="CATEGORYNAME">
                      <a:rPr lang="en-IN" baseline="0"/>
                      <a:pPr/>
                      <a:t>[CATEGORY NAME]</a:t>
                    </a:fld>
                    <a:r>
                      <a:rPr lang="en-IN" baseline="0"/>
                      <a:t>, </a:t>
                    </a:r>
                    <a:fld id="{925492F8-8B2E-48D2-82AB-82B1362F5B1B}"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0177-4790-91B8-D3F6286A9598}"/>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val>
            <c:numRef>
              <c:f>'Dynamic Data-RE'!$G$108:$G$138</c:f>
              <c:numCache>
                <c:formatCode>0.0000</c:formatCode>
                <c:ptCount val="31"/>
                <c:pt idx="0">
                  <c:v>2.7965E-2</c:v>
                </c:pt>
                <c:pt idx="1">
                  <c:v>-0.11777700000000001</c:v>
                </c:pt>
                <c:pt idx="2">
                  <c:v>-0.11769399999999999</c:v>
                </c:pt>
                <c:pt idx="3">
                  <c:v>0.93914600000000004</c:v>
                </c:pt>
                <c:pt idx="4" formatCode="General">
                  <c:v>0</c:v>
                </c:pt>
                <c:pt idx="5" formatCode="General">
                  <c:v>0</c:v>
                </c:pt>
                <c:pt idx="6" formatCode="General">
                  <c:v>0</c:v>
                </c:pt>
                <c:pt idx="7">
                  <c:v>-0.12723400000000001</c:v>
                </c:pt>
                <c:pt idx="8">
                  <c:v>0.62215500000000001</c:v>
                </c:pt>
                <c:pt idx="9">
                  <c:v>-1.9000000000000001E-4</c:v>
                </c:pt>
                <c:pt idx="10">
                  <c:v>0.22800799999999999</c:v>
                </c:pt>
                <c:pt idx="11">
                  <c:v>0.43525700000000001</c:v>
                </c:pt>
                <c:pt idx="12">
                  <c:v>6.3299999999999999E-4</c:v>
                </c:pt>
                <c:pt idx="13">
                  <c:v>0.154728</c:v>
                </c:pt>
                <c:pt idx="14">
                  <c:v>0.95755299999999999</c:v>
                </c:pt>
                <c:pt idx="15" formatCode="General">
                  <c:v>0</c:v>
                </c:pt>
                <c:pt idx="16" formatCode="General">
                  <c:v>0</c:v>
                </c:pt>
                <c:pt idx="17" formatCode="General">
                  <c:v>0</c:v>
                </c:pt>
                <c:pt idx="18">
                  <c:v>1.0250000000000001E-3</c:v>
                </c:pt>
                <c:pt idx="19">
                  <c:v>-7.6952999999999994E-2</c:v>
                </c:pt>
                <c:pt idx="20">
                  <c:v>0.29060000000000002</c:v>
                </c:pt>
                <c:pt idx="21">
                  <c:v>1.011947907407293</c:v>
                </c:pt>
                <c:pt idx="22">
                  <c:v>-2.1493000000000002E-2</c:v>
                </c:pt>
                <c:pt idx="23">
                  <c:v>0.215033</c:v>
                </c:pt>
                <c:pt idx="24">
                  <c:v>-9.7073000000000007E-2</c:v>
                </c:pt>
                <c:pt idx="25">
                  <c:v>-0.34123300000000001</c:v>
                </c:pt>
                <c:pt idx="26">
                  <c:v>-0.34115499999999999</c:v>
                </c:pt>
                <c:pt idx="27">
                  <c:v>0.82677800000000001</c:v>
                </c:pt>
                <c:pt idx="28" formatCode="General">
                  <c:v>0</c:v>
                </c:pt>
                <c:pt idx="29" formatCode="General">
                  <c:v>0</c:v>
                </c:pt>
                <c:pt idx="30" formatCode="General">
                  <c:v>0</c:v>
                </c:pt>
              </c:numCache>
            </c:numRef>
          </c:val>
          <c:extLst>
            <c:ext xmlns:c15="http://schemas.microsoft.com/office/drawing/2012/chart" uri="{02D57815-91ED-43cb-92C2-25804820EDAC}">
              <c15:datalabelsRange>
                <c15:f>'Dynamic Data-RE'!$C$108:$C$138</c15:f>
                <c15:dlblRangeCache>
                  <c:ptCount val="31"/>
                  <c:pt idx="0">
                    <c:v>V=110%</c:v>
                  </c:pt>
                  <c:pt idx="1">
                    <c:v>V=110%</c:v>
                  </c:pt>
                  <c:pt idx="2">
                    <c:v>V=110%</c:v>
                  </c:pt>
                  <c:pt idx="3">
                    <c:v>V=110%</c:v>
                  </c:pt>
                  <c:pt idx="4">
                    <c:v>V=110%</c:v>
                  </c:pt>
                  <c:pt idx="5">
                    <c:v>V=110%</c:v>
                  </c:pt>
                  <c:pt idx="6">
                    <c:v>V=110%</c:v>
                  </c:pt>
                  <c:pt idx="7">
                    <c:v>V=110%</c:v>
                  </c:pt>
                  <c:pt idx="8">
                    <c:v>V=110%</c:v>
                  </c:pt>
                  <c:pt idx="9">
                    <c:v>V=120%</c:v>
                  </c:pt>
                  <c:pt idx="10">
                    <c:v>V=120%</c:v>
                  </c:pt>
                  <c:pt idx="11">
                    <c:v>V=120%</c:v>
                  </c:pt>
                  <c:pt idx="12">
                    <c:v>V=120%</c:v>
                  </c:pt>
                  <c:pt idx="13">
                    <c:v>V=120%</c:v>
                  </c:pt>
                  <c:pt idx="14">
                    <c:v>V=120%</c:v>
                  </c:pt>
                  <c:pt idx="15">
                    <c:v>V=120%</c:v>
                  </c:pt>
                  <c:pt idx="16">
                    <c:v>V=120%</c:v>
                  </c:pt>
                  <c:pt idx="17">
                    <c:v>V=120%</c:v>
                  </c:pt>
                  <c:pt idx="18">
                    <c:v>V=120%</c:v>
                  </c:pt>
                  <c:pt idx="19">
                    <c:v>V=120%</c:v>
                  </c:pt>
                  <c:pt idx="20">
                    <c:v>V=120%</c:v>
                  </c:pt>
                  <c:pt idx="21">
                    <c:v>V=120%</c:v>
                  </c:pt>
                  <c:pt idx="22">
                    <c:v>V=130%</c:v>
                  </c:pt>
                  <c:pt idx="23">
                    <c:v>V=130%</c:v>
                  </c:pt>
                  <c:pt idx="24">
                    <c:v>V=130%</c:v>
                  </c:pt>
                  <c:pt idx="25">
                    <c:v>V=130%</c:v>
                  </c:pt>
                  <c:pt idx="26">
                    <c:v>V=130%</c:v>
                  </c:pt>
                  <c:pt idx="27">
                    <c:v>V=130%</c:v>
                  </c:pt>
                  <c:pt idx="28">
                    <c:v>V=130%</c:v>
                  </c:pt>
                  <c:pt idx="29">
                    <c:v>V=130%</c:v>
                  </c:pt>
                  <c:pt idx="30">
                    <c:v>V=130%</c:v>
                  </c:pt>
                </c15:dlblRangeCache>
              </c15:datalabelsRange>
            </c:ext>
            <c:ext xmlns:c16="http://schemas.microsoft.com/office/drawing/2014/chart" uri="{C3380CC4-5D6E-409C-BE32-E72D297353CC}">
              <c16:uniqueId val="{00000000-42F8-4BA0-80A5-A7272D9CE53E}"/>
            </c:ext>
          </c:extLst>
        </c:ser>
        <c:ser>
          <c:idx val="1"/>
          <c:order val="1"/>
          <c:tx>
            <c:v>Id_PSCAD</c:v>
          </c:tx>
          <c:spPr>
            <a:ln w="31750" cap="rnd">
              <a:solidFill>
                <a:schemeClr val="accent2"/>
              </a:solidFill>
              <a:round/>
            </a:ln>
            <a:effectLst/>
          </c:spPr>
          <c:marker>
            <c:symbol val="none"/>
          </c:marker>
          <c:val>
            <c:numRef>
              <c:f>'Dynamic Data-RE'!$H$108:$H$138</c:f>
              <c:numCache>
                <c:formatCode>General</c:formatCode>
                <c:ptCount val="31"/>
                <c:pt idx="0">
                  <c:v>0.26700000000000002</c:v>
                </c:pt>
                <c:pt idx="1">
                  <c:v>5.2400000000000002E-2</c:v>
                </c:pt>
                <c:pt idx="2">
                  <c:v>5.6600000000000004E-2</c:v>
                </c:pt>
                <c:pt idx="3">
                  <c:v>6.88E-2</c:v>
                </c:pt>
                <c:pt idx="4">
                  <c:v>0</c:v>
                </c:pt>
                <c:pt idx="5">
                  <c:v>0</c:v>
                </c:pt>
                <c:pt idx="6">
                  <c:v>0</c:v>
                </c:pt>
                <c:pt idx="7">
                  <c:v>0.84830000000000005</c:v>
                </c:pt>
                <c:pt idx="8">
                  <c:v>1.6483000000000001</c:v>
                </c:pt>
                <c:pt idx="9">
                  <c:v>6.9999999999999999E-4</c:v>
                </c:pt>
                <c:pt idx="10">
                  <c:v>3.4000000000000002E-3</c:v>
                </c:pt>
                <c:pt idx="11">
                  <c:v>0.24</c:v>
                </c:pt>
                <c:pt idx="12">
                  <c:v>2.7300000000000001E-2</c:v>
                </c:pt>
                <c:pt idx="13">
                  <c:v>3.4300000000000004E-2</c:v>
                </c:pt>
                <c:pt idx="14">
                  <c:v>0.85399999999999998</c:v>
                </c:pt>
                <c:pt idx="15">
                  <c:v>0</c:v>
                </c:pt>
                <c:pt idx="16">
                  <c:v>0</c:v>
                </c:pt>
                <c:pt idx="17">
                  <c:v>0</c:v>
                </c:pt>
                <c:pt idx="18">
                  <c:v>1.0449999999999999</c:v>
                </c:pt>
                <c:pt idx="19">
                  <c:v>1.85</c:v>
                </c:pt>
                <c:pt idx="20">
                  <c:v>-0.42</c:v>
                </c:pt>
                <c:pt idx="21">
                  <c:v>0.72</c:v>
                </c:pt>
                <c:pt idx="22">
                  <c:v>3.6799999999999999E-2</c:v>
                </c:pt>
                <c:pt idx="23">
                  <c:v>3.78E-2</c:v>
                </c:pt>
                <c:pt idx="24">
                  <c:v>0.249</c:v>
                </c:pt>
                <c:pt idx="25">
                  <c:v>-8.5819999999999994E-2</c:v>
                </c:pt>
                <c:pt idx="26">
                  <c:v>-8.1199999999999994E-2</c:v>
                </c:pt>
                <c:pt idx="27">
                  <c:v>0.87080000000000002</c:v>
                </c:pt>
                <c:pt idx="28">
                  <c:v>0</c:v>
                </c:pt>
                <c:pt idx="29">
                  <c:v>0</c:v>
                </c:pt>
                <c:pt idx="30">
                  <c:v>0</c:v>
                </c:pt>
              </c:numCache>
            </c:numRef>
          </c:val>
          <c:extLst>
            <c:ext xmlns:c16="http://schemas.microsoft.com/office/drawing/2014/chart" uri="{C3380CC4-5D6E-409C-BE32-E72D297353CC}">
              <c16:uniqueId val="{00000001-42F8-4BA0-80A5-A7272D9CE53E}"/>
            </c:ext>
          </c:extLst>
        </c:ser>
        <c:dLbls>
          <c:showLegendKey val="0"/>
          <c:showVal val="0"/>
          <c:showCatName val="0"/>
          <c:showSerName val="0"/>
          <c:showPercent val="0"/>
          <c:showBubbleSize val="0"/>
        </c:dLbls>
        <c:axId val="793642464"/>
        <c:axId val="793627584"/>
      </c:radarChart>
      <c:catAx>
        <c:axId val="793642464"/>
        <c:scaling>
          <c:orientation val="minMax"/>
        </c:scaling>
        <c:delete val="0"/>
        <c:axPos val="b"/>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93627584"/>
        <c:crosses val="autoZero"/>
        <c:auto val="1"/>
        <c:lblAlgn val="ctr"/>
        <c:lblOffset val="100"/>
        <c:noMultiLvlLbl val="0"/>
      </c:catAx>
      <c:valAx>
        <c:axId val="793627584"/>
        <c:scaling>
          <c:orientation val="minMax"/>
        </c:scaling>
        <c:delete val="0"/>
        <c:axPos val="l"/>
        <c:majorGridlines>
          <c:spPr>
            <a:ln w="9525" cap="flat" cmpd="sng" algn="ctr">
              <a:solidFill>
                <a:schemeClr val="tx2">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93642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baseline="0">
                <a:solidFill>
                  <a:schemeClr val="tx2"/>
                </a:solidFill>
                <a:latin typeface="+mn-lt"/>
                <a:ea typeface="+mn-ea"/>
                <a:cs typeface="+mn-cs"/>
              </a:defRPr>
            </a:pPr>
            <a:r>
              <a:rPr lang="en-IN" sz="2400"/>
              <a:t>LVRT_Iq_Total_3PH</a:t>
            </a:r>
          </a:p>
          <a:p>
            <a:pPr>
              <a:defRPr sz="2400"/>
            </a:pPr>
            <a:r>
              <a:rPr lang="en-IN" sz="2400"/>
              <a:t>INV/WTG/PCS/SVG</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2"/>
              </a:solidFill>
              <a:latin typeface="+mn-lt"/>
              <a:ea typeface="+mn-ea"/>
              <a:cs typeface="+mn-cs"/>
            </a:defRPr>
          </a:pPr>
          <a:endParaRPr lang="en-US"/>
        </a:p>
      </c:txPr>
    </c:title>
    <c:autoTitleDeleted val="0"/>
    <c:plotArea>
      <c:layout/>
      <c:radarChart>
        <c:radarStyle val="marker"/>
        <c:varyColors val="0"/>
        <c:ser>
          <c:idx val="0"/>
          <c:order val="0"/>
          <c:tx>
            <c:v>Iq_Total_PSSE</c:v>
          </c:tx>
          <c:spPr>
            <a:ln w="31750" cap="rnd">
              <a:solidFill>
                <a:schemeClr val="accent1"/>
              </a:solidFill>
              <a:round/>
            </a:ln>
            <a:effectLst/>
          </c:spPr>
          <c:marker>
            <c:symbol val="none"/>
          </c:marker>
          <c:dLbls>
            <c:dLbl>
              <c:idx val="0"/>
              <c:tx>
                <c:rich>
                  <a:bodyPr/>
                  <a:lstStyle/>
                  <a:p>
                    <a:fld id="{E4DBAB40-C3B5-46F2-BE2B-8D1DADF09D95}" type="CELLRANGE">
                      <a:rPr lang="en-IN"/>
                      <a:pPr/>
                      <a:t>[CELLRANGE]</a:t>
                    </a:fld>
                    <a:r>
                      <a:rPr lang="en-IN" baseline="0"/>
                      <a:t>, </a:t>
                    </a:r>
                    <a:fld id="{69BCB92A-CA12-4A34-99A1-906173358435}" type="CATEGORYNAME">
                      <a:rPr lang="en-IN" baseline="0"/>
                      <a:pPr/>
                      <a:t>[CATEGORY NAME]</a:t>
                    </a:fld>
                    <a:r>
                      <a:rPr lang="en-IN" baseline="0"/>
                      <a:t>, </a:t>
                    </a:r>
                    <a:fld id="{5E5C165C-0825-4891-8A95-17619ED7C9DA}"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6946-4FD6-8821-9AD4CE055BC5}"/>
                </c:ext>
              </c:extLst>
            </c:dLbl>
            <c:dLbl>
              <c:idx val="1"/>
              <c:tx>
                <c:rich>
                  <a:bodyPr/>
                  <a:lstStyle/>
                  <a:p>
                    <a:fld id="{56D60F10-B055-430F-A3A7-9A727326A1CC}" type="CELLRANGE">
                      <a:rPr lang="en-IN"/>
                      <a:pPr/>
                      <a:t>[CELLRANGE]</a:t>
                    </a:fld>
                    <a:r>
                      <a:rPr lang="en-IN" baseline="0"/>
                      <a:t>, </a:t>
                    </a:r>
                    <a:fld id="{9491C57F-026B-4993-AA0F-11FE1DD7FB2B}" type="CATEGORYNAME">
                      <a:rPr lang="en-IN" baseline="0"/>
                      <a:pPr/>
                      <a:t>[CATEGORY NAME]</a:t>
                    </a:fld>
                    <a:r>
                      <a:rPr lang="en-IN" baseline="0"/>
                      <a:t>, </a:t>
                    </a:r>
                    <a:fld id="{2746685B-9C83-44DA-A70E-C87D3D853FED}"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946-4FD6-8821-9AD4CE055BC5}"/>
                </c:ext>
              </c:extLst>
            </c:dLbl>
            <c:dLbl>
              <c:idx val="2"/>
              <c:tx>
                <c:rich>
                  <a:bodyPr/>
                  <a:lstStyle/>
                  <a:p>
                    <a:fld id="{20EF09FB-832E-49E1-AD95-A092EE8E96A2}" type="CELLRANGE">
                      <a:rPr lang="en-IN"/>
                      <a:pPr/>
                      <a:t>[CELLRANGE]</a:t>
                    </a:fld>
                    <a:r>
                      <a:rPr lang="en-IN" baseline="0"/>
                      <a:t>, </a:t>
                    </a:r>
                    <a:fld id="{8E8619E9-F605-4EC5-8DA6-151DEC21BE6A}" type="CATEGORYNAME">
                      <a:rPr lang="en-IN" baseline="0"/>
                      <a:pPr/>
                      <a:t>[CATEGORY NAME]</a:t>
                    </a:fld>
                    <a:r>
                      <a:rPr lang="en-IN" baseline="0"/>
                      <a:t>, </a:t>
                    </a:r>
                    <a:fld id="{C871B3C3-AAF4-4759-9AE7-AF9CC60DD7E3}"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946-4FD6-8821-9AD4CE055BC5}"/>
                </c:ext>
              </c:extLst>
            </c:dLbl>
            <c:dLbl>
              <c:idx val="3"/>
              <c:tx>
                <c:rich>
                  <a:bodyPr/>
                  <a:lstStyle/>
                  <a:p>
                    <a:fld id="{27F7A761-A2C4-4766-93D1-E8663C01B52B}" type="CELLRANGE">
                      <a:rPr lang="en-IN"/>
                      <a:pPr/>
                      <a:t>[CELLRANGE]</a:t>
                    </a:fld>
                    <a:r>
                      <a:rPr lang="en-IN" baseline="0"/>
                      <a:t>, </a:t>
                    </a:r>
                    <a:fld id="{A2C363C5-4639-484B-B0C4-2F5ECE60138D}" type="CATEGORYNAME">
                      <a:rPr lang="en-IN" baseline="0"/>
                      <a:pPr/>
                      <a:t>[CATEGORY NAME]</a:t>
                    </a:fld>
                    <a:r>
                      <a:rPr lang="en-IN" baseline="0"/>
                      <a:t>, </a:t>
                    </a:r>
                    <a:fld id="{1806650A-2723-446F-BDA4-AB89D552A06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946-4FD6-8821-9AD4CE055BC5}"/>
                </c:ext>
              </c:extLst>
            </c:dLbl>
            <c:dLbl>
              <c:idx val="4"/>
              <c:tx>
                <c:rich>
                  <a:bodyPr/>
                  <a:lstStyle/>
                  <a:p>
                    <a:fld id="{EDA583F5-2C89-4AE6-B64D-68A543F85E76}" type="CELLRANGE">
                      <a:rPr lang="en-IN"/>
                      <a:pPr/>
                      <a:t>[CELLRANGE]</a:t>
                    </a:fld>
                    <a:r>
                      <a:rPr lang="en-IN" baseline="0"/>
                      <a:t>, </a:t>
                    </a:r>
                    <a:fld id="{8C7CF2C3-A2F0-4729-B81E-F823F16D743C}" type="CATEGORYNAME">
                      <a:rPr lang="en-IN" baseline="0"/>
                      <a:pPr/>
                      <a:t>[CATEGORY NAME]</a:t>
                    </a:fld>
                    <a:r>
                      <a:rPr lang="en-IN" baseline="0"/>
                      <a:t>, </a:t>
                    </a:r>
                    <a:fld id="{7F52B2AE-E5F9-4A0B-B8B6-32863E32D291}"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946-4FD6-8821-9AD4CE055BC5}"/>
                </c:ext>
              </c:extLst>
            </c:dLbl>
            <c:dLbl>
              <c:idx val="5"/>
              <c:tx>
                <c:rich>
                  <a:bodyPr/>
                  <a:lstStyle/>
                  <a:p>
                    <a:fld id="{EA9BFF14-8F25-4976-AEF0-B8BCE69C5F05}" type="CELLRANGE">
                      <a:rPr lang="en-IN"/>
                      <a:pPr/>
                      <a:t>[CELLRANGE]</a:t>
                    </a:fld>
                    <a:r>
                      <a:rPr lang="en-IN" baseline="0"/>
                      <a:t>, </a:t>
                    </a:r>
                    <a:fld id="{FD391C5F-9D1B-4E23-BA67-078252890A28}" type="CATEGORYNAME">
                      <a:rPr lang="en-IN" baseline="0"/>
                      <a:pPr/>
                      <a:t>[CATEGORY NAME]</a:t>
                    </a:fld>
                    <a:r>
                      <a:rPr lang="en-IN" baseline="0"/>
                      <a:t>, </a:t>
                    </a:r>
                    <a:fld id="{37DE9FE5-16DF-4319-B80C-2B801D562C58}"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946-4FD6-8821-9AD4CE055BC5}"/>
                </c:ext>
              </c:extLst>
            </c:dLbl>
            <c:dLbl>
              <c:idx val="6"/>
              <c:tx>
                <c:rich>
                  <a:bodyPr/>
                  <a:lstStyle/>
                  <a:p>
                    <a:fld id="{B795373F-1E71-41E0-9BA1-8D925A77A745}" type="CELLRANGE">
                      <a:rPr lang="en-IN"/>
                      <a:pPr/>
                      <a:t>[CELLRANGE]</a:t>
                    </a:fld>
                    <a:r>
                      <a:rPr lang="en-IN" baseline="0"/>
                      <a:t>, </a:t>
                    </a:r>
                    <a:fld id="{D0E0C62F-CF56-47E7-A195-2807E4ADF076}" type="CATEGORYNAME">
                      <a:rPr lang="en-IN" baseline="0"/>
                      <a:pPr/>
                      <a:t>[CATEGORY NAME]</a:t>
                    </a:fld>
                    <a:r>
                      <a:rPr lang="en-IN" baseline="0"/>
                      <a:t>, </a:t>
                    </a:r>
                    <a:fld id="{A8225408-CD77-4CAE-8DD1-283B1C647529}"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946-4FD6-8821-9AD4CE055BC5}"/>
                </c:ext>
              </c:extLst>
            </c:dLbl>
            <c:dLbl>
              <c:idx val="7"/>
              <c:tx>
                <c:rich>
                  <a:bodyPr/>
                  <a:lstStyle/>
                  <a:p>
                    <a:fld id="{710A623C-5468-4BB4-9A72-A863CCFF2811}" type="CELLRANGE">
                      <a:rPr lang="en-IN"/>
                      <a:pPr/>
                      <a:t>[CELLRANGE]</a:t>
                    </a:fld>
                    <a:r>
                      <a:rPr lang="en-IN" baseline="0"/>
                      <a:t>, </a:t>
                    </a:r>
                    <a:fld id="{D93E00BA-9247-4192-949C-54BE259D39EA}" type="CATEGORYNAME">
                      <a:rPr lang="en-IN" baseline="0"/>
                      <a:pPr/>
                      <a:t>[CATEGORY NAME]</a:t>
                    </a:fld>
                    <a:r>
                      <a:rPr lang="en-IN" baseline="0"/>
                      <a:t>, </a:t>
                    </a:r>
                    <a:fld id="{7D7D27C3-A6A5-4620-B7CA-CE3363813149}"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946-4FD6-8821-9AD4CE055BC5}"/>
                </c:ext>
              </c:extLst>
            </c:dLbl>
            <c:dLbl>
              <c:idx val="8"/>
              <c:tx>
                <c:rich>
                  <a:bodyPr/>
                  <a:lstStyle/>
                  <a:p>
                    <a:fld id="{3541E89C-97D3-479B-B631-EEA90363F199}" type="CELLRANGE">
                      <a:rPr lang="en-IN"/>
                      <a:pPr/>
                      <a:t>[CELLRANGE]</a:t>
                    </a:fld>
                    <a:r>
                      <a:rPr lang="en-IN" baseline="0"/>
                      <a:t>, </a:t>
                    </a:r>
                    <a:fld id="{1E49185B-DE27-471B-892F-BF25AD848B48}" type="CATEGORYNAME">
                      <a:rPr lang="en-IN" baseline="0"/>
                      <a:pPr/>
                      <a:t>[CATEGORY NAME]</a:t>
                    </a:fld>
                    <a:r>
                      <a:rPr lang="en-IN" baseline="0"/>
                      <a:t>, </a:t>
                    </a:r>
                    <a:fld id="{E65E9944-2D8D-4FA6-8F69-DBEDA55808A1}"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946-4FD6-8821-9AD4CE055BC5}"/>
                </c:ext>
              </c:extLst>
            </c:dLbl>
            <c:dLbl>
              <c:idx val="9"/>
              <c:tx>
                <c:rich>
                  <a:bodyPr/>
                  <a:lstStyle/>
                  <a:p>
                    <a:fld id="{4C090057-A38F-4425-AFD7-59152FEB83BC}" type="CELLRANGE">
                      <a:rPr lang="en-IN"/>
                      <a:pPr/>
                      <a:t>[CELLRANGE]</a:t>
                    </a:fld>
                    <a:r>
                      <a:rPr lang="en-IN" baseline="0"/>
                      <a:t>, </a:t>
                    </a:r>
                    <a:fld id="{B40FCB20-A71D-44DC-80E2-72535355890C}" type="CATEGORYNAME">
                      <a:rPr lang="en-IN" baseline="0"/>
                      <a:pPr/>
                      <a:t>[CATEGORY NAME]</a:t>
                    </a:fld>
                    <a:r>
                      <a:rPr lang="en-IN" baseline="0"/>
                      <a:t>, </a:t>
                    </a:r>
                    <a:fld id="{E1131DC9-0988-4D6E-A639-E526F676741B}"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946-4FD6-8821-9AD4CE055BC5}"/>
                </c:ext>
              </c:extLst>
            </c:dLbl>
            <c:dLbl>
              <c:idx val="10"/>
              <c:tx>
                <c:rich>
                  <a:bodyPr/>
                  <a:lstStyle/>
                  <a:p>
                    <a:fld id="{02D8F617-95A8-4716-A805-AEC1DB7EADF6}" type="CELLRANGE">
                      <a:rPr lang="en-IN"/>
                      <a:pPr/>
                      <a:t>[CELLRANGE]</a:t>
                    </a:fld>
                    <a:r>
                      <a:rPr lang="en-IN" baseline="0"/>
                      <a:t>, </a:t>
                    </a:r>
                    <a:fld id="{6194E812-AB6F-4F90-B77A-229FC4E77F86}" type="CATEGORYNAME">
                      <a:rPr lang="en-IN" baseline="0"/>
                      <a:pPr/>
                      <a:t>[CATEGORY NAME]</a:t>
                    </a:fld>
                    <a:r>
                      <a:rPr lang="en-IN" baseline="0"/>
                      <a:t>, </a:t>
                    </a:r>
                    <a:fld id="{1429A6A0-FFB2-4BC5-A6FC-087CC0C0701A}"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946-4FD6-8821-9AD4CE055BC5}"/>
                </c:ext>
              </c:extLst>
            </c:dLbl>
            <c:dLbl>
              <c:idx val="11"/>
              <c:tx>
                <c:rich>
                  <a:bodyPr/>
                  <a:lstStyle/>
                  <a:p>
                    <a:fld id="{699DA4C8-06C1-4442-B065-7383BCAD9BB3}" type="CELLRANGE">
                      <a:rPr lang="en-IN"/>
                      <a:pPr/>
                      <a:t>[CELLRANGE]</a:t>
                    </a:fld>
                    <a:r>
                      <a:rPr lang="en-IN" baseline="0"/>
                      <a:t>, </a:t>
                    </a:r>
                    <a:fld id="{9198E08F-22B9-4E70-9D35-F17C141AA22A}" type="CATEGORYNAME">
                      <a:rPr lang="en-IN" baseline="0"/>
                      <a:pPr/>
                      <a:t>[CATEGORY NAME]</a:t>
                    </a:fld>
                    <a:r>
                      <a:rPr lang="en-IN" baseline="0"/>
                      <a:t>, </a:t>
                    </a:r>
                    <a:fld id="{93220B7F-F1DA-496F-B5E6-A9201D6020AF}"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946-4FD6-8821-9AD4CE055BC5}"/>
                </c:ext>
              </c:extLst>
            </c:dLbl>
            <c:dLbl>
              <c:idx val="12"/>
              <c:tx>
                <c:rich>
                  <a:bodyPr/>
                  <a:lstStyle/>
                  <a:p>
                    <a:fld id="{4A12070B-0279-45DC-B634-BD17CBD11830}" type="CELLRANGE">
                      <a:rPr lang="en-IN"/>
                      <a:pPr/>
                      <a:t>[CELLRANGE]</a:t>
                    </a:fld>
                    <a:r>
                      <a:rPr lang="en-IN" baseline="0"/>
                      <a:t>, </a:t>
                    </a:r>
                    <a:fld id="{738B25FF-4D85-4E9C-8B31-FD33DE102561}" type="CATEGORYNAME">
                      <a:rPr lang="en-IN" baseline="0"/>
                      <a:pPr/>
                      <a:t>[CATEGORY NAME]</a:t>
                    </a:fld>
                    <a:r>
                      <a:rPr lang="en-IN" baseline="0"/>
                      <a:t>, </a:t>
                    </a:r>
                    <a:fld id="{D1384F2E-0C70-437E-A54B-FB0194EABF59}"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ED9-4F5E-A255-A5378231E05E}"/>
                </c:ext>
              </c:extLst>
            </c:dLbl>
            <c:dLbl>
              <c:idx val="13"/>
              <c:tx>
                <c:rich>
                  <a:bodyPr/>
                  <a:lstStyle/>
                  <a:p>
                    <a:fld id="{F531D70D-CAEA-4BDD-9D7F-6E713E168741}" type="CELLRANGE">
                      <a:rPr lang="en-IN"/>
                      <a:pPr/>
                      <a:t>[CELLRANGE]</a:t>
                    </a:fld>
                    <a:r>
                      <a:rPr lang="en-IN" baseline="0"/>
                      <a:t>, </a:t>
                    </a:r>
                    <a:fld id="{F794CBC1-481A-4398-A907-C4D0F1C4FCF6}" type="CATEGORYNAME">
                      <a:rPr lang="en-IN" baseline="0"/>
                      <a:pPr/>
                      <a:t>[CATEGORY NAME]</a:t>
                    </a:fld>
                    <a:r>
                      <a:rPr lang="en-IN" baseline="0"/>
                      <a:t>, </a:t>
                    </a:r>
                    <a:fld id="{10F256EF-6D87-41FB-80D6-C751BB45A0F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ED9-4F5E-A255-A5378231E05E}"/>
                </c:ext>
              </c:extLst>
            </c:dLbl>
            <c:dLbl>
              <c:idx val="14"/>
              <c:tx>
                <c:rich>
                  <a:bodyPr/>
                  <a:lstStyle/>
                  <a:p>
                    <a:fld id="{83CE4ABB-6AB4-49D2-BFE8-2017C446447E}" type="CELLRANGE">
                      <a:rPr lang="en-IN"/>
                      <a:pPr/>
                      <a:t>[CELLRANGE]</a:t>
                    </a:fld>
                    <a:r>
                      <a:rPr lang="en-IN" baseline="0"/>
                      <a:t>, </a:t>
                    </a:r>
                    <a:fld id="{A0DD997C-AEB7-41AF-AE7D-FFC77BA3A801}" type="CATEGORYNAME">
                      <a:rPr lang="en-IN" baseline="0"/>
                      <a:pPr/>
                      <a:t>[CATEGORY NAME]</a:t>
                    </a:fld>
                    <a:r>
                      <a:rPr lang="en-IN" baseline="0"/>
                      <a:t>, </a:t>
                    </a:r>
                    <a:fld id="{DD462022-177B-4D70-A028-F12907F8B598}"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ED9-4F5E-A255-A5378231E05E}"/>
                </c:ext>
              </c:extLst>
            </c:dLbl>
            <c:dLbl>
              <c:idx val="15"/>
              <c:tx>
                <c:rich>
                  <a:bodyPr/>
                  <a:lstStyle/>
                  <a:p>
                    <a:fld id="{E0CC5840-A79A-4B63-A4ED-2BDE43E72180}" type="CELLRANGE">
                      <a:rPr lang="en-IN"/>
                      <a:pPr/>
                      <a:t>[CELLRANGE]</a:t>
                    </a:fld>
                    <a:r>
                      <a:rPr lang="en-IN" baseline="0"/>
                      <a:t>, </a:t>
                    </a:r>
                    <a:fld id="{6C8E31D1-B65D-41D8-A791-06A02C12483A}" type="CATEGORYNAME">
                      <a:rPr lang="en-IN" baseline="0"/>
                      <a:pPr/>
                      <a:t>[CATEGORY NAME]</a:t>
                    </a:fld>
                    <a:r>
                      <a:rPr lang="en-IN" baseline="0"/>
                      <a:t>, </a:t>
                    </a:r>
                    <a:fld id="{0E095C0F-6616-4F24-8183-60B4D5199FCC}"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ED9-4F5E-A255-A5378231E05E}"/>
                </c:ext>
              </c:extLst>
            </c:dLbl>
            <c:dLbl>
              <c:idx val="16"/>
              <c:tx>
                <c:rich>
                  <a:bodyPr/>
                  <a:lstStyle/>
                  <a:p>
                    <a:fld id="{480B8D14-1BBA-427F-9F43-E4FFA5772715}" type="CELLRANGE">
                      <a:rPr lang="en-IN"/>
                      <a:pPr/>
                      <a:t>[CELLRANGE]</a:t>
                    </a:fld>
                    <a:r>
                      <a:rPr lang="en-IN" baseline="0"/>
                      <a:t>, </a:t>
                    </a:r>
                    <a:fld id="{E063D0BA-21F8-46E9-9CE1-353BEA1E3ECA}" type="CATEGORYNAME">
                      <a:rPr lang="en-IN" baseline="0"/>
                      <a:pPr/>
                      <a:t>[CATEGORY NAME]</a:t>
                    </a:fld>
                    <a:r>
                      <a:rPr lang="en-IN" baseline="0"/>
                      <a:t>, </a:t>
                    </a:r>
                    <a:fld id="{3A01F3FF-5ACF-4214-B209-1DA03A6E04ED}"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ED9-4F5E-A255-A5378231E05E}"/>
                </c:ext>
              </c:extLst>
            </c:dLbl>
            <c:dLbl>
              <c:idx val="17"/>
              <c:tx>
                <c:rich>
                  <a:bodyPr/>
                  <a:lstStyle/>
                  <a:p>
                    <a:fld id="{07B7D64A-D0E1-4F81-96E2-260C67B43723}" type="CELLRANGE">
                      <a:rPr lang="en-IN"/>
                      <a:pPr/>
                      <a:t>[CELLRANGE]</a:t>
                    </a:fld>
                    <a:r>
                      <a:rPr lang="en-IN" baseline="0"/>
                      <a:t>, </a:t>
                    </a:r>
                    <a:fld id="{10A40605-D016-4B7C-BB77-486F133E84E2}" type="CATEGORYNAME">
                      <a:rPr lang="en-IN" baseline="0"/>
                      <a:pPr/>
                      <a:t>[CATEGORY NAME]</a:t>
                    </a:fld>
                    <a:r>
                      <a:rPr lang="en-IN" baseline="0"/>
                      <a:t>, </a:t>
                    </a:r>
                    <a:fld id="{BFF6A802-3541-4BB2-A5C8-D3C7BE830CAD}"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ED9-4F5E-A255-A5378231E05E}"/>
                </c:ext>
              </c:extLst>
            </c:dLbl>
            <c:dLbl>
              <c:idx val="18"/>
              <c:tx>
                <c:rich>
                  <a:bodyPr/>
                  <a:lstStyle/>
                  <a:p>
                    <a:fld id="{0F98E15E-A8B9-4959-BCCE-B8B3CA545A99}" type="CELLRANGE">
                      <a:rPr lang="en-IN"/>
                      <a:pPr/>
                      <a:t>[CELLRANGE]</a:t>
                    </a:fld>
                    <a:r>
                      <a:rPr lang="en-IN" baseline="0"/>
                      <a:t>, </a:t>
                    </a:r>
                    <a:fld id="{AD67633A-6C68-438D-83DD-0437C69EC49D}" type="CATEGORYNAME">
                      <a:rPr lang="en-IN" baseline="0"/>
                      <a:pPr/>
                      <a:t>[CATEGORY NAME]</a:t>
                    </a:fld>
                    <a:r>
                      <a:rPr lang="en-IN" baseline="0"/>
                      <a:t>, </a:t>
                    </a:r>
                    <a:fld id="{7B7F0744-309D-4810-AD10-3641545191F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ED9-4F5E-A255-A5378231E05E}"/>
                </c:ext>
              </c:extLst>
            </c:dLbl>
            <c:dLbl>
              <c:idx val="19"/>
              <c:tx>
                <c:rich>
                  <a:bodyPr/>
                  <a:lstStyle/>
                  <a:p>
                    <a:fld id="{67D3083A-44E2-4939-8F77-2DFAF6678250}" type="CELLRANGE">
                      <a:rPr lang="en-IN"/>
                      <a:pPr/>
                      <a:t>[CELLRANGE]</a:t>
                    </a:fld>
                    <a:r>
                      <a:rPr lang="en-IN" baseline="0"/>
                      <a:t>, </a:t>
                    </a:r>
                    <a:fld id="{D893FB70-2BB7-4ED0-BB15-E27D776ABDA0}" type="CATEGORYNAME">
                      <a:rPr lang="en-IN" baseline="0"/>
                      <a:pPr/>
                      <a:t>[CATEGORY NAME]</a:t>
                    </a:fld>
                    <a:r>
                      <a:rPr lang="en-IN" baseline="0"/>
                      <a:t>, </a:t>
                    </a:r>
                    <a:fld id="{A959CD84-E482-4960-B8A4-8091CBB7EFF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ED9-4F5E-A255-A5378231E05E}"/>
                </c:ext>
              </c:extLst>
            </c:dLbl>
            <c:dLbl>
              <c:idx val="20"/>
              <c:tx>
                <c:rich>
                  <a:bodyPr/>
                  <a:lstStyle/>
                  <a:p>
                    <a:fld id="{2A29E718-B706-453A-86C3-CDC5A48217BF}" type="CELLRANGE">
                      <a:rPr lang="en-IN"/>
                      <a:pPr/>
                      <a:t>[CELLRANGE]</a:t>
                    </a:fld>
                    <a:r>
                      <a:rPr lang="en-IN" baseline="0"/>
                      <a:t>, </a:t>
                    </a:r>
                    <a:fld id="{5A1E8FDF-EBA4-443F-BB0F-13DDD85A367C}" type="CATEGORYNAME">
                      <a:rPr lang="en-IN" baseline="0"/>
                      <a:pPr/>
                      <a:t>[CATEGORY NAME]</a:t>
                    </a:fld>
                    <a:r>
                      <a:rPr lang="en-IN" baseline="0"/>
                      <a:t>, </a:t>
                    </a:r>
                    <a:fld id="{DD53DDB1-B1A2-4017-AC0F-C4382C868B57}"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ED9-4F5E-A255-A5378231E05E}"/>
                </c:ext>
              </c:extLst>
            </c:dLbl>
            <c:dLbl>
              <c:idx val="21"/>
              <c:tx>
                <c:rich>
                  <a:bodyPr/>
                  <a:lstStyle/>
                  <a:p>
                    <a:fld id="{E94475BD-5003-47DB-838D-A809119826A5}" type="CELLRANGE">
                      <a:rPr lang="en-IN"/>
                      <a:pPr/>
                      <a:t>[CELLRANGE]</a:t>
                    </a:fld>
                    <a:r>
                      <a:rPr lang="en-IN" baseline="0"/>
                      <a:t>, </a:t>
                    </a:r>
                    <a:fld id="{7FDC8354-A562-4CCE-BF62-505B039D2934}" type="CATEGORYNAME">
                      <a:rPr lang="en-IN" baseline="0"/>
                      <a:pPr/>
                      <a:t>[CATEGORY NAME]</a:t>
                    </a:fld>
                    <a:r>
                      <a:rPr lang="en-IN" baseline="0"/>
                      <a:t>, </a:t>
                    </a:r>
                    <a:fld id="{95F91F6E-7C87-4387-AEBB-F9B83823EE1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ED9-4F5E-A255-A5378231E05E}"/>
                </c:ext>
              </c:extLst>
            </c:dLbl>
            <c:dLbl>
              <c:idx val="22"/>
              <c:tx>
                <c:rich>
                  <a:bodyPr/>
                  <a:lstStyle/>
                  <a:p>
                    <a:fld id="{66946063-056A-4046-A98F-6B87A8894F8A}" type="CELLRANGE">
                      <a:rPr lang="en-IN"/>
                      <a:pPr/>
                      <a:t>[CELLRANGE]</a:t>
                    </a:fld>
                    <a:r>
                      <a:rPr lang="en-IN" baseline="0"/>
                      <a:t>, </a:t>
                    </a:r>
                    <a:fld id="{B216D065-1457-467C-A35F-4F367ADC3930}" type="CATEGORYNAME">
                      <a:rPr lang="en-IN" baseline="0"/>
                      <a:pPr/>
                      <a:t>[CATEGORY NAME]</a:t>
                    </a:fld>
                    <a:r>
                      <a:rPr lang="en-IN" baseline="0"/>
                      <a:t>, </a:t>
                    </a:r>
                    <a:fld id="{57FD0A97-5423-4510-B3F3-06F4A573099D}"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ED9-4F5E-A255-A5378231E05E}"/>
                </c:ext>
              </c:extLst>
            </c:dLbl>
            <c:dLbl>
              <c:idx val="23"/>
              <c:tx>
                <c:rich>
                  <a:bodyPr/>
                  <a:lstStyle/>
                  <a:p>
                    <a:fld id="{533BC6F0-89D9-43B3-8E97-3CC6A29CE0F1}" type="CELLRANGE">
                      <a:rPr lang="en-IN"/>
                      <a:pPr/>
                      <a:t>[CELLRANGE]</a:t>
                    </a:fld>
                    <a:r>
                      <a:rPr lang="en-IN" baseline="0"/>
                      <a:t>, </a:t>
                    </a:r>
                    <a:fld id="{3B54D686-C438-464F-8146-A156022EC3AE}" type="CATEGORYNAME">
                      <a:rPr lang="en-IN" baseline="0"/>
                      <a:pPr/>
                      <a:t>[CATEGORY NAME]</a:t>
                    </a:fld>
                    <a:r>
                      <a:rPr lang="en-IN" baseline="0"/>
                      <a:t>, </a:t>
                    </a:r>
                    <a:fld id="{8085B0BE-49B8-4307-852C-8C2B6E51E554}"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7ED9-4F5E-A255-A5378231E05E}"/>
                </c:ext>
              </c:extLst>
            </c:dLbl>
            <c:dLbl>
              <c:idx val="24"/>
              <c:tx>
                <c:rich>
                  <a:bodyPr/>
                  <a:lstStyle/>
                  <a:p>
                    <a:fld id="{92360949-6095-4D60-AEBF-3BD4F611C9A7}" type="CELLRANGE">
                      <a:rPr lang="en-IN"/>
                      <a:pPr/>
                      <a:t>[CELLRANGE]</a:t>
                    </a:fld>
                    <a:r>
                      <a:rPr lang="en-IN" baseline="0"/>
                      <a:t>, </a:t>
                    </a:r>
                    <a:fld id="{08DD8618-F429-48A1-8154-EBB4215D641D}" type="CATEGORYNAME">
                      <a:rPr lang="en-IN" baseline="0"/>
                      <a:pPr/>
                      <a:t>[CATEGORY NAME]</a:t>
                    </a:fld>
                    <a:r>
                      <a:rPr lang="en-IN" baseline="0"/>
                      <a:t>, </a:t>
                    </a:r>
                    <a:fld id="{2FFEA35F-0BA4-4C4A-B489-D81B0148B66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7ED9-4F5E-A255-A5378231E05E}"/>
                </c:ext>
              </c:extLst>
            </c:dLbl>
            <c:dLbl>
              <c:idx val="25"/>
              <c:tx>
                <c:rich>
                  <a:bodyPr/>
                  <a:lstStyle/>
                  <a:p>
                    <a:fld id="{A8203CEA-2F01-4535-B09F-E4044285C8F1}" type="CELLRANGE">
                      <a:rPr lang="en-IN"/>
                      <a:pPr/>
                      <a:t>[CELLRANGE]</a:t>
                    </a:fld>
                    <a:r>
                      <a:rPr lang="en-IN" baseline="0"/>
                      <a:t>, </a:t>
                    </a:r>
                    <a:fld id="{9EEDA90C-4A08-47A7-B80F-AE93730A7FE6}" type="CATEGORYNAME">
                      <a:rPr lang="en-IN" baseline="0"/>
                      <a:pPr/>
                      <a:t>[CATEGORY NAME]</a:t>
                    </a:fld>
                    <a:r>
                      <a:rPr lang="en-IN" baseline="0"/>
                      <a:t>, </a:t>
                    </a:r>
                    <a:fld id="{76D3667F-DBBC-4B94-94C2-F50A937FCEBC}"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7ED9-4F5E-A255-A5378231E05E}"/>
                </c:ext>
              </c:extLst>
            </c:dLbl>
            <c:dLbl>
              <c:idx val="26"/>
              <c:tx>
                <c:rich>
                  <a:bodyPr/>
                  <a:lstStyle/>
                  <a:p>
                    <a:fld id="{3EBE9084-321B-4F27-9283-943CA9E10D30}" type="CELLRANGE">
                      <a:rPr lang="en-IN"/>
                      <a:pPr/>
                      <a:t>[CELLRANGE]</a:t>
                    </a:fld>
                    <a:r>
                      <a:rPr lang="en-IN" baseline="0"/>
                      <a:t>, </a:t>
                    </a:r>
                    <a:fld id="{41E2AA17-9488-4C17-8E19-4B0C9850D9C3}" type="CATEGORYNAME">
                      <a:rPr lang="en-IN" baseline="0"/>
                      <a:pPr/>
                      <a:t>[CATEGORY NAME]</a:t>
                    </a:fld>
                    <a:r>
                      <a:rPr lang="en-IN" baseline="0"/>
                      <a:t>, </a:t>
                    </a:r>
                    <a:fld id="{76D2CA8C-8792-40E9-9371-BF5EA029C56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7ED9-4F5E-A255-A5378231E05E}"/>
                </c:ext>
              </c:extLst>
            </c:dLbl>
            <c:dLbl>
              <c:idx val="27"/>
              <c:tx>
                <c:rich>
                  <a:bodyPr/>
                  <a:lstStyle/>
                  <a:p>
                    <a:fld id="{1052CF2F-06D6-4393-8E95-235B78C5B935}" type="CELLRANGE">
                      <a:rPr lang="en-IN"/>
                      <a:pPr/>
                      <a:t>[CELLRANGE]</a:t>
                    </a:fld>
                    <a:r>
                      <a:rPr lang="en-IN" baseline="0"/>
                      <a:t>, </a:t>
                    </a:r>
                    <a:fld id="{1ED0DBD2-A780-43D8-BD23-1B102E4F8BA7}" type="CATEGORYNAME">
                      <a:rPr lang="en-IN" baseline="0"/>
                      <a:pPr/>
                      <a:t>[CATEGORY NAME]</a:t>
                    </a:fld>
                    <a:r>
                      <a:rPr lang="en-IN" baseline="0"/>
                      <a:t>, </a:t>
                    </a:r>
                    <a:fld id="{8E9E514D-B290-41E5-83A4-CE08E7528D0E}"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7ED9-4F5E-A255-A5378231E05E}"/>
                </c:ext>
              </c:extLst>
            </c:dLbl>
            <c:dLbl>
              <c:idx val="28"/>
              <c:tx>
                <c:rich>
                  <a:bodyPr/>
                  <a:lstStyle/>
                  <a:p>
                    <a:fld id="{AE7D9EDF-CA94-485A-A62E-0949E943D7C1}" type="CELLRANGE">
                      <a:rPr lang="en-IN"/>
                      <a:pPr/>
                      <a:t>[CELLRANGE]</a:t>
                    </a:fld>
                    <a:r>
                      <a:rPr lang="en-IN" baseline="0"/>
                      <a:t>, </a:t>
                    </a:r>
                    <a:fld id="{43CA42F4-62CE-4792-BFC3-D7218A8F3605}" type="CATEGORYNAME">
                      <a:rPr lang="en-IN" baseline="0"/>
                      <a:pPr/>
                      <a:t>[CATEGORY NAME]</a:t>
                    </a:fld>
                    <a:r>
                      <a:rPr lang="en-IN" baseline="0"/>
                      <a:t>, </a:t>
                    </a:r>
                    <a:fld id="{52A377F8-A34F-4CC9-ADB6-FC54816A05B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7ED9-4F5E-A255-A5378231E05E}"/>
                </c:ext>
              </c:extLst>
            </c:dLbl>
            <c:dLbl>
              <c:idx val="29"/>
              <c:tx>
                <c:rich>
                  <a:bodyPr/>
                  <a:lstStyle/>
                  <a:p>
                    <a:fld id="{30F60083-FBA6-49A2-8339-8C705A7A28FF}" type="CELLRANGE">
                      <a:rPr lang="en-IN"/>
                      <a:pPr/>
                      <a:t>[CELLRANGE]</a:t>
                    </a:fld>
                    <a:r>
                      <a:rPr lang="en-IN" baseline="0"/>
                      <a:t>, </a:t>
                    </a:r>
                    <a:fld id="{1CE5382B-A61D-49F1-AE4E-70369D3DE989}" type="CATEGORYNAME">
                      <a:rPr lang="en-IN" baseline="0"/>
                      <a:pPr/>
                      <a:t>[CATEGORY NAME]</a:t>
                    </a:fld>
                    <a:r>
                      <a:rPr lang="en-IN" baseline="0"/>
                      <a:t>, </a:t>
                    </a:r>
                    <a:fld id="{7CCDA87B-BE47-4622-BD82-266F6D5795B3}"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7ED9-4F5E-A255-A5378231E05E}"/>
                </c:ext>
              </c:extLst>
            </c:dLbl>
            <c:dLbl>
              <c:idx val="30"/>
              <c:tx>
                <c:rich>
                  <a:bodyPr/>
                  <a:lstStyle/>
                  <a:p>
                    <a:fld id="{F21AF6F4-4DBA-4776-8495-C45D4BF854D5}" type="CELLRANGE">
                      <a:rPr lang="en-IN"/>
                      <a:pPr/>
                      <a:t>[CELLRANGE]</a:t>
                    </a:fld>
                    <a:r>
                      <a:rPr lang="en-IN" baseline="0"/>
                      <a:t>, </a:t>
                    </a:r>
                    <a:fld id="{499C97DF-E691-4B17-9E7A-EA0E4EE0AE3B}" type="CATEGORYNAME">
                      <a:rPr lang="en-IN" baseline="0"/>
                      <a:pPr/>
                      <a:t>[CATEGORY NAME]</a:t>
                    </a:fld>
                    <a:r>
                      <a:rPr lang="en-IN" baseline="0"/>
                      <a:t>, </a:t>
                    </a:r>
                    <a:fld id="{A18468FE-1E03-4AFA-9E7A-CCE126BFB294}"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7ED9-4F5E-A255-A5378231E05E}"/>
                </c:ext>
              </c:extLst>
            </c:dLbl>
            <c:dLbl>
              <c:idx val="31"/>
              <c:tx>
                <c:rich>
                  <a:bodyPr/>
                  <a:lstStyle/>
                  <a:p>
                    <a:fld id="{1153BE48-905A-4C0C-B6C6-5C3F5C0B2F8D}" type="CELLRANGE">
                      <a:rPr lang="en-IN"/>
                      <a:pPr/>
                      <a:t>[CELLRANGE]</a:t>
                    </a:fld>
                    <a:r>
                      <a:rPr lang="en-IN" baseline="0"/>
                      <a:t>, </a:t>
                    </a:r>
                    <a:fld id="{30CE0C2A-4D4E-4237-A1FE-08064B62AD8C}" type="CATEGORYNAME">
                      <a:rPr lang="en-IN" baseline="0"/>
                      <a:pPr/>
                      <a:t>[CATEGORY NAME]</a:t>
                    </a:fld>
                    <a:r>
                      <a:rPr lang="en-IN" baseline="0"/>
                      <a:t>, </a:t>
                    </a:r>
                    <a:fld id="{471013E8-5608-43A6-BD48-623A96F637BB}"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7ED9-4F5E-A255-A5378231E05E}"/>
                </c:ext>
              </c:extLst>
            </c:dLbl>
            <c:dLbl>
              <c:idx val="32"/>
              <c:tx>
                <c:rich>
                  <a:bodyPr/>
                  <a:lstStyle/>
                  <a:p>
                    <a:fld id="{FCE8AB33-D969-45EF-ABD2-80CF6015769A}" type="CELLRANGE">
                      <a:rPr lang="en-IN"/>
                      <a:pPr/>
                      <a:t>[CELLRANGE]</a:t>
                    </a:fld>
                    <a:r>
                      <a:rPr lang="en-IN" baseline="0"/>
                      <a:t>, </a:t>
                    </a:r>
                    <a:fld id="{6ED4D29D-CCAB-463F-9AB4-5E92A5851046}" type="CATEGORYNAME">
                      <a:rPr lang="en-IN" baseline="0"/>
                      <a:pPr/>
                      <a:t>[CATEGORY NAME]</a:t>
                    </a:fld>
                    <a:r>
                      <a:rPr lang="en-IN" baseline="0"/>
                      <a:t>, </a:t>
                    </a:r>
                    <a:fld id="{6DB9397A-9925-44DE-9C25-4551DEBF5833}"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7ED9-4F5E-A255-A5378231E05E}"/>
                </c:ext>
              </c:extLst>
            </c:dLbl>
            <c:dLbl>
              <c:idx val="33"/>
              <c:tx>
                <c:rich>
                  <a:bodyPr/>
                  <a:lstStyle/>
                  <a:p>
                    <a:fld id="{6449E859-34A8-476E-97EB-E958E4265869}" type="CELLRANGE">
                      <a:rPr lang="en-IN"/>
                      <a:pPr/>
                      <a:t>[CELLRANGE]</a:t>
                    </a:fld>
                    <a:r>
                      <a:rPr lang="en-IN" baseline="0"/>
                      <a:t>, </a:t>
                    </a:r>
                    <a:fld id="{57EB2146-1CA8-4EBF-9C6D-DCFACEA18AE1}" type="CATEGORYNAME">
                      <a:rPr lang="en-IN" baseline="0"/>
                      <a:pPr/>
                      <a:t>[CATEGORY NAME]</a:t>
                    </a:fld>
                    <a:r>
                      <a:rPr lang="en-IN" baseline="0"/>
                      <a:t>, </a:t>
                    </a:r>
                    <a:fld id="{77F1DF62-0BF1-41BD-B1DD-F5DFD53B50DB}"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7ED9-4F5E-A255-A5378231E05E}"/>
                </c:ext>
              </c:extLst>
            </c:dLbl>
            <c:dLbl>
              <c:idx val="34"/>
              <c:tx>
                <c:rich>
                  <a:bodyPr/>
                  <a:lstStyle/>
                  <a:p>
                    <a:fld id="{C83503D6-5238-47A5-8E30-6EE8DA2D4AFF}" type="CELLRANGE">
                      <a:rPr lang="en-IN"/>
                      <a:pPr/>
                      <a:t>[CELLRANGE]</a:t>
                    </a:fld>
                    <a:r>
                      <a:rPr lang="en-IN" baseline="0"/>
                      <a:t>, </a:t>
                    </a:r>
                    <a:fld id="{574B6603-69FB-49DE-B55F-C6E0D391EAFA}" type="CATEGORYNAME">
                      <a:rPr lang="en-IN" baseline="0"/>
                      <a:pPr/>
                      <a:t>[CATEGORY NAME]</a:t>
                    </a:fld>
                    <a:r>
                      <a:rPr lang="en-IN" baseline="0"/>
                      <a:t>, </a:t>
                    </a:r>
                    <a:fld id="{26B7E3BC-AAC2-4522-87F4-46DE05068DB1}"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7ED9-4F5E-A255-A5378231E05E}"/>
                </c:ext>
              </c:extLst>
            </c:dLbl>
            <c:dLbl>
              <c:idx val="35"/>
              <c:tx>
                <c:rich>
                  <a:bodyPr/>
                  <a:lstStyle/>
                  <a:p>
                    <a:fld id="{7E9B24BA-5819-44AF-906C-23190D62B8E7}" type="CELLRANGE">
                      <a:rPr lang="en-IN"/>
                      <a:pPr/>
                      <a:t>[CELLRANGE]</a:t>
                    </a:fld>
                    <a:r>
                      <a:rPr lang="en-IN" baseline="0"/>
                      <a:t>, </a:t>
                    </a:r>
                    <a:fld id="{804FBE6B-AB0A-4203-9EB6-E4311101F4F8}" type="CATEGORYNAME">
                      <a:rPr lang="en-IN" baseline="0"/>
                      <a:pPr/>
                      <a:t>[CATEGORY NAME]</a:t>
                    </a:fld>
                    <a:r>
                      <a:rPr lang="en-IN" baseline="0"/>
                      <a:t>, </a:t>
                    </a:r>
                    <a:fld id="{835D7C63-C5D5-4690-A507-FE94EC2BE137}"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7ED9-4F5E-A255-A5378231E05E}"/>
                </c:ext>
              </c:extLst>
            </c:dLbl>
            <c:dLbl>
              <c:idx val="36"/>
              <c:tx>
                <c:rich>
                  <a:bodyPr/>
                  <a:lstStyle/>
                  <a:p>
                    <a:fld id="{E8EDEFF1-3366-4809-B0DF-44634D2E158E}" type="CELLRANGE">
                      <a:rPr lang="en-IN"/>
                      <a:pPr/>
                      <a:t>[CELLRANGE]</a:t>
                    </a:fld>
                    <a:r>
                      <a:rPr lang="en-IN" baseline="0"/>
                      <a:t>, </a:t>
                    </a:r>
                    <a:fld id="{CCB0B20F-FF88-4683-A515-D2A7680F7B94}" type="CATEGORYNAME">
                      <a:rPr lang="en-IN" baseline="0"/>
                      <a:pPr/>
                      <a:t>[CATEGORY NAME]</a:t>
                    </a:fld>
                    <a:r>
                      <a:rPr lang="en-IN" baseline="0"/>
                      <a:t>, </a:t>
                    </a:r>
                    <a:fld id="{4F3971FD-825A-4618-AB0B-A41BD1B344D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7ED9-4F5E-A255-A5378231E05E}"/>
                </c:ext>
              </c:extLst>
            </c:dLbl>
            <c:dLbl>
              <c:idx val="37"/>
              <c:tx>
                <c:rich>
                  <a:bodyPr/>
                  <a:lstStyle/>
                  <a:p>
                    <a:fld id="{447ADFD3-B0B5-41D1-89FE-08A38177074A}" type="CELLRANGE">
                      <a:rPr lang="en-IN"/>
                      <a:pPr/>
                      <a:t>[CELLRANGE]</a:t>
                    </a:fld>
                    <a:r>
                      <a:rPr lang="en-IN" baseline="0"/>
                      <a:t>, </a:t>
                    </a:r>
                    <a:fld id="{43BF0450-EE7F-4C26-B484-0CC4F84D1582}" type="CATEGORYNAME">
                      <a:rPr lang="en-IN" baseline="0"/>
                      <a:pPr/>
                      <a:t>[CATEGORY NAME]</a:t>
                    </a:fld>
                    <a:r>
                      <a:rPr lang="en-IN" baseline="0"/>
                      <a:t>, </a:t>
                    </a:r>
                    <a:fld id="{D36EC674-A4B6-4D4F-9B01-AB39E8525B75}"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7ED9-4F5E-A255-A5378231E05E}"/>
                </c:ext>
              </c:extLst>
            </c:dLbl>
            <c:dLbl>
              <c:idx val="38"/>
              <c:tx>
                <c:rich>
                  <a:bodyPr/>
                  <a:lstStyle/>
                  <a:p>
                    <a:fld id="{FF84C5D9-D3A7-4A05-AC04-00EA115F255B}" type="CELLRANGE">
                      <a:rPr lang="en-IN"/>
                      <a:pPr/>
                      <a:t>[CELLRANGE]</a:t>
                    </a:fld>
                    <a:r>
                      <a:rPr lang="en-IN" baseline="0"/>
                      <a:t>, </a:t>
                    </a:r>
                    <a:fld id="{4899C634-2194-4EEC-8354-99F17967CB89}" type="CATEGORYNAME">
                      <a:rPr lang="en-IN" baseline="0"/>
                      <a:pPr/>
                      <a:t>[CATEGORY NAME]</a:t>
                    </a:fld>
                    <a:r>
                      <a:rPr lang="en-IN" baseline="0"/>
                      <a:t>, </a:t>
                    </a:r>
                    <a:fld id="{26BB0AE5-A354-4D06-8576-A3A2158B56DB}"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7ED9-4F5E-A255-A5378231E05E}"/>
                </c:ext>
              </c:extLst>
            </c:dLbl>
            <c:dLbl>
              <c:idx val="39"/>
              <c:layout>
                <c:manualLayout>
                  <c:x val="-6.0132291040288638E-2"/>
                  <c:y val="3.3309754223847317E-3"/>
                </c:manualLayout>
              </c:layout>
              <c:tx>
                <c:rich>
                  <a:bodyPr/>
                  <a:lstStyle/>
                  <a:p>
                    <a:fld id="{7BE5A806-2144-4955-888B-B3F07B6FAEBA}" type="CELLRANGE">
                      <a:rPr lang="en-US" baseline="0"/>
                      <a:pPr/>
                      <a:t>[CELLRANGE]</a:t>
                    </a:fld>
                    <a:r>
                      <a:rPr lang="en-US" baseline="0"/>
                      <a:t>, </a:t>
                    </a:r>
                    <a:fld id="{89F05BB1-2456-4996-92E2-01F4719181A5}" type="CATEGORYNAME">
                      <a:rPr lang="en-US" baseline="0"/>
                      <a:pPr/>
                      <a:t>[CATEGORY NAME]</a:t>
                    </a:fld>
                    <a:r>
                      <a:rPr lang="en-US" baseline="0"/>
                      <a:t>, </a:t>
                    </a:r>
                    <a:fld id="{76E376D3-BBBE-4739-BD6E-066ACA108246}"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9906-40A3-8A16-13912A0E60AE}"/>
                </c:ext>
              </c:extLst>
            </c:dLbl>
            <c:dLbl>
              <c:idx val="40"/>
              <c:tx>
                <c:rich>
                  <a:bodyPr/>
                  <a:lstStyle/>
                  <a:p>
                    <a:fld id="{68C224C8-03AE-4F19-AF09-7FB15BEF64EB}" type="CELLRANGE">
                      <a:rPr lang="en-IN"/>
                      <a:pPr/>
                      <a:t>[CELLRANGE]</a:t>
                    </a:fld>
                    <a:r>
                      <a:rPr lang="en-IN" baseline="0"/>
                      <a:t>, </a:t>
                    </a:r>
                    <a:fld id="{F1FF3B48-70D0-4A77-A613-89CC8B8E6E83}" type="CATEGORYNAME">
                      <a:rPr lang="en-IN" baseline="0"/>
                      <a:pPr/>
                      <a:t>[CATEGORY NAME]</a:t>
                    </a:fld>
                    <a:r>
                      <a:rPr lang="en-IN" baseline="0"/>
                      <a:t>, </a:t>
                    </a:r>
                    <a:fld id="{FAC53A1F-8ADB-4DE0-B928-0BD3ECCC019C}"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7ED9-4F5E-A255-A5378231E05E}"/>
                </c:ext>
              </c:extLst>
            </c:dLbl>
            <c:dLbl>
              <c:idx val="41"/>
              <c:tx>
                <c:rich>
                  <a:bodyPr/>
                  <a:lstStyle/>
                  <a:p>
                    <a:fld id="{C6D845D6-22E9-4E90-B815-3409605DA116}" type="CELLRANGE">
                      <a:rPr lang="en-IN"/>
                      <a:pPr/>
                      <a:t>[CELLRANGE]</a:t>
                    </a:fld>
                    <a:r>
                      <a:rPr lang="en-IN" baseline="0"/>
                      <a:t>, </a:t>
                    </a:r>
                    <a:fld id="{62E3AD20-576F-49D1-89D3-2D1C569DAC2D}" type="CATEGORYNAME">
                      <a:rPr lang="en-IN" baseline="0"/>
                      <a:pPr/>
                      <a:t>[CATEGORY NAME]</a:t>
                    </a:fld>
                    <a:r>
                      <a:rPr lang="en-IN" baseline="0"/>
                      <a:t>, </a:t>
                    </a:r>
                    <a:fld id="{4C96AF21-E625-40DB-B1F5-1D63F54AD187}"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7ED9-4F5E-A255-A5378231E05E}"/>
                </c:ext>
              </c:extLst>
            </c:dLbl>
            <c:dLbl>
              <c:idx val="42"/>
              <c:tx>
                <c:rich>
                  <a:bodyPr/>
                  <a:lstStyle/>
                  <a:p>
                    <a:fld id="{5DB4FE2F-57EA-426A-A2F1-DEA740B508AC}" type="CELLRANGE">
                      <a:rPr lang="en-IN"/>
                      <a:pPr/>
                      <a:t>[CELLRANGE]</a:t>
                    </a:fld>
                    <a:r>
                      <a:rPr lang="en-IN" baseline="0"/>
                      <a:t>, </a:t>
                    </a:r>
                    <a:fld id="{E39F18AA-FA65-47F7-9851-DFE1AB1B25FD}" type="CATEGORYNAME">
                      <a:rPr lang="en-IN" baseline="0"/>
                      <a:pPr/>
                      <a:t>[CATEGORY NAME]</a:t>
                    </a:fld>
                    <a:r>
                      <a:rPr lang="en-IN" baseline="0"/>
                      <a:t>, </a:t>
                    </a:r>
                    <a:fld id="{7898074B-2775-447E-91A2-253D31B162A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7ED9-4F5E-A255-A5378231E05E}"/>
                </c:ext>
              </c:extLst>
            </c:dLbl>
            <c:dLbl>
              <c:idx val="43"/>
              <c:tx>
                <c:rich>
                  <a:bodyPr/>
                  <a:lstStyle/>
                  <a:p>
                    <a:fld id="{2D38D135-6DF0-484F-A04B-F9CA9D13E07A}" type="CELLRANGE">
                      <a:rPr lang="en-IN"/>
                      <a:pPr/>
                      <a:t>[CELLRANGE]</a:t>
                    </a:fld>
                    <a:r>
                      <a:rPr lang="en-IN" baseline="0"/>
                      <a:t>, </a:t>
                    </a:r>
                    <a:fld id="{50F6CD68-CCA0-492C-91D0-F5E5ADE5B448}" type="CATEGORYNAME">
                      <a:rPr lang="en-IN" baseline="0"/>
                      <a:pPr/>
                      <a:t>[CATEGORY NAME]</a:t>
                    </a:fld>
                    <a:r>
                      <a:rPr lang="en-IN" baseline="0"/>
                      <a:t>, </a:t>
                    </a:r>
                    <a:fld id="{4973A6F6-E212-4B25-9CA4-500E46FE4FB6}"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7ED9-4F5E-A255-A5378231E05E}"/>
                </c:ext>
              </c:extLst>
            </c:dLbl>
            <c:dLbl>
              <c:idx val="44"/>
              <c:layout>
                <c:manualLayout>
                  <c:x val="-6.4141110442974603E-2"/>
                  <c:y val="0"/>
                </c:manualLayout>
              </c:layout>
              <c:tx>
                <c:rich>
                  <a:bodyPr/>
                  <a:lstStyle/>
                  <a:p>
                    <a:fld id="{2D8CC14D-CBA9-44B8-B13C-89198657E6C0}" type="CELLRANGE">
                      <a:rPr lang="en-US" baseline="0"/>
                      <a:pPr/>
                      <a:t>[CELLRANGE]</a:t>
                    </a:fld>
                    <a:r>
                      <a:rPr lang="en-US" baseline="0"/>
                      <a:t>, </a:t>
                    </a:r>
                    <a:fld id="{A073DC3B-929D-4081-9CAB-971EACC6A641}" type="CATEGORYNAME">
                      <a:rPr lang="en-US" baseline="0"/>
                      <a:pPr/>
                      <a:t>[CATEGORY NAME]</a:t>
                    </a:fld>
                    <a:r>
                      <a:rPr lang="en-US" baseline="0"/>
                      <a:t>, </a:t>
                    </a:r>
                    <a:fld id="{6CE3176B-5DDD-44D3-B562-6AD3D5284E60}"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906-40A3-8A16-13912A0E60AE}"/>
                </c:ext>
              </c:extLst>
            </c:dLbl>
            <c:dLbl>
              <c:idx val="45"/>
              <c:tx>
                <c:rich>
                  <a:bodyPr/>
                  <a:lstStyle/>
                  <a:p>
                    <a:fld id="{3D024B02-0C18-40BB-8603-E3FBA03FEADE}" type="CELLRANGE">
                      <a:rPr lang="en-IN"/>
                      <a:pPr/>
                      <a:t>[CELLRANGE]</a:t>
                    </a:fld>
                    <a:r>
                      <a:rPr lang="en-IN" baseline="0"/>
                      <a:t>, </a:t>
                    </a:r>
                    <a:fld id="{DC795F27-118B-4D71-9136-98FC52E3BB93}" type="CATEGORYNAME">
                      <a:rPr lang="en-IN" baseline="0"/>
                      <a:pPr/>
                      <a:t>[CATEGORY NAME]</a:t>
                    </a:fld>
                    <a:r>
                      <a:rPr lang="en-IN" baseline="0"/>
                      <a:t>, </a:t>
                    </a:r>
                    <a:fld id="{A9FA3FC9-86F6-4C29-91F3-6CC1558046A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7ED9-4F5E-A255-A5378231E05E}"/>
                </c:ext>
              </c:extLst>
            </c:dLbl>
            <c:dLbl>
              <c:idx val="46"/>
              <c:layout>
                <c:manualLayout>
                  <c:x val="-3.928643014632191E-2"/>
                  <c:y val="-6.2178207884515078E-2"/>
                </c:manualLayout>
              </c:layout>
              <c:tx>
                <c:rich>
                  <a:bodyPr/>
                  <a:lstStyle/>
                  <a:p>
                    <a:fld id="{4140A869-F231-419C-B9D4-E1092FFE8932}" type="CELLRANGE">
                      <a:rPr lang="en-US" baseline="0"/>
                      <a:pPr/>
                      <a:t>[CELLRANGE]</a:t>
                    </a:fld>
                    <a:r>
                      <a:rPr lang="en-US" baseline="0"/>
                      <a:t>, </a:t>
                    </a:r>
                    <a:fld id="{80791134-6F37-4931-B859-C37852D30295}" type="CATEGORYNAME">
                      <a:rPr lang="en-US" baseline="0"/>
                      <a:pPr/>
                      <a:t>[CATEGORY NAME]</a:t>
                    </a:fld>
                    <a:r>
                      <a:rPr lang="en-US" baseline="0"/>
                      <a:t>, </a:t>
                    </a:r>
                    <a:fld id="{E26C89E2-27A9-4122-B595-45B5AAC014C9}"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9906-40A3-8A16-13912A0E60AE}"/>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1"/>
                <c15:leaderLines>
                  <c:spPr>
                    <a:ln w="9525">
                      <a:solidFill>
                        <a:schemeClr val="tx2">
                          <a:lumMod val="35000"/>
                          <a:lumOff val="65000"/>
                        </a:schemeClr>
                      </a:solidFill>
                    </a:ln>
                    <a:effectLst/>
                  </c:spPr>
                </c15:leaderLines>
              </c:ext>
            </c:extLst>
          </c:dLbls>
          <c:val>
            <c:numRef>
              <c:f>'Dynamic Data-RE'!$G$8:$G$54</c:f>
              <c:numCache>
                <c:formatCode>General</c:formatCode>
                <c:ptCount val="47"/>
                <c:pt idx="0">
                  <c:v>0.33692499999999997</c:v>
                </c:pt>
                <c:pt idx="1">
                  <c:v>0.86963500000000005</c:v>
                </c:pt>
                <c:pt idx="2" formatCode="0.00">
                  <c:v>0.93711100756847376</c:v>
                </c:pt>
                <c:pt idx="3">
                  <c:v>0</c:v>
                </c:pt>
                <c:pt idx="4" formatCode="0.0000">
                  <c:v>1.029935</c:v>
                </c:pt>
                <c:pt idx="5" formatCode="0.0000">
                  <c:v>1.1000000000000001</c:v>
                </c:pt>
                <c:pt idx="6" formatCode="0.0000">
                  <c:v>9.9999999999999995E-7</c:v>
                </c:pt>
                <c:pt idx="7" formatCode="0.0000">
                  <c:v>1.1000000000004551</c:v>
                </c:pt>
                <c:pt idx="8">
                  <c:v>0</c:v>
                </c:pt>
                <c:pt idx="9">
                  <c:v>0.6</c:v>
                </c:pt>
                <c:pt idx="10" formatCode="0.0000">
                  <c:v>0.586696</c:v>
                </c:pt>
                <c:pt idx="11">
                  <c:v>0</c:v>
                </c:pt>
                <c:pt idx="12">
                  <c:v>0</c:v>
                </c:pt>
                <c:pt idx="13">
                  <c:v>0</c:v>
                </c:pt>
                <c:pt idx="14">
                  <c:v>0</c:v>
                </c:pt>
                <c:pt idx="15" formatCode="0.0000">
                  <c:v>42.294609999999999</c:v>
                </c:pt>
                <c:pt idx="16" formatCode="0.0000">
                  <c:v>1.755137179194834</c:v>
                </c:pt>
                <c:pt idx="17" formatCode="0.0000">
                  <c:v>5.2422000000000003E-2</c:v>
                </c:pt>
                <c:pt idx="18" formatCode="0.0000">
                  <c:v>0.28768100000000002</c:v>
                </c:pt>
                <c:pt idx="19" formatCode="0.0000">
                  <c:v>0.54343200000000003</c:v>
                </c:pt>
                <c:pt idx="20" formatCode="0.0000">
                  <c:v>0.61739937580872239</c:v>
                </c:pt>
                <c:pt idx="21" formatCode="0.0000">
                  <c:v>4.9199700000000002</c:v>
                </c:pt>
                <c:pt idx="22" formatCode="0.0000">
                  <c:v>0.62619800000000003</c:v>
                </c:pt>
                <c:pt idx="23" formatCode="0.0000">
                  <c:v>0.68438500000000002</c:v>
                </c:pt>
                <c:pt idx="24" formatCode="0.0000">
                  <c:v>0.84745700000000002</c:v>
                </c:pt>
                <c:pt idx="25" formatCode="0.0000">
                  <c:v>1.098712379321358</c:v>
                </c:pt>
                <c:pt idx="26" formatCode="0.0000">
                  <c:v>67.480699999999999</c:v>
                </c:pt>
                <c:pt idx="27" formatCode="0.0000">
                  <c:v>0.586696</c:v>
                </c:pt>
                <c:pt idx="28">
                  <c:v>0</c:v>
                </c:pt>
                <c:pt idx="29">
                  <c:v>0</c:v>
                </c:pt>
                <c:pt idx="30">
                  <c:v>0</c:v>
                </c:pt>
                <c:pt idx="31">
                  <c:v>0</c:v>
                </c:pt>
                <c:pt idx="32" formatCode="0.0000">
                  <c:v>51.014110000000002</c:v>
                </c:pt>
                <c:pt idx="33" formatCode="0.0000">
                  <c:v>1.529767063188707</c:v>
                </c:pt>
                <c:pt idx="34" formatCode="0.0000">
                  <c:v>1.2269E-2</c:v>
                </c:pt>
                <c:pt idx="35" formatCode="0.0000">
                  <c:v>0.24295600000000001</c:v>
                </c:pt>
                <c:pt idx="36" formatCode="0.0000">
                  <c:v>0.27635700000000002</c:v>
                </c:pt>
                <c:pt idx="37" formatCode="0.0000">
                  <c:v>0.36975011665312563</c:v>
                </c:pt>
                <c:pt idx="38" formatCode="0.0000">
                  <c:v>4.9184299999999999</c:v>
                </c:pt>
                <c:pt idx="39" formatCode="0.0000">
                  <c:v>0.248249</c:v>
                </c:pt>
                <c:pt idx="40" formatCode="0.0000">
                  <c:v>0.31263299999999999</c:v>
                </c:pt>
                <c:pt idx="41" formatCode="0.0000">
                  <c:v>0.96130300000000002</c:v>
                </c:pt>
                <c:pt idx="42" formatCode="0.0000">
                  <c:v>1.0122105853200709</c:v>
                </c:pt>
                <c:pt idx="43" formatCode="0.0000">
                  <c:v>67.495999999999995</c:v>
                </c:pt>
                <c:pt idx="44" formatCode="0.0000">
                  <c:v>0.27495000000000003</c:v>
                </c:pt>
                <c:pt idx="45">
                  <c:v>0</c:v>
                </c:pt>
                <c:pt idx="46">
                  <c:v>0</c:v>
                </c:pt>
              </c:numCache>
            </c:numRef>
          </c:val>
          <c:extLst>
            <c:ext xmlns:c15="http://schemas.microsoft.com/office/drawing/2012/chart" uri="{02D57815-91ED-43cb-92C2-25804820EDAC}">
              <c15:datalabelsRange>
                <c15:f>'Dynamic Data-RE'!$C$8:$C$54</c15:f>
                <c15:dlblRangeCache>
                  <c:ptCount val="47"/>
                  <c:pt idx="0">
                    <c:v>V=15%</c:v>
                  </c:pt>
                  <c:pt idx="1">
                    <c:v>V=15%</c:v>
                  </c:pt>
                  <c:pt idx="2">
                    <c:v>V=15%</c:v>
                  </c:pt>
                  <c:pt idx="3">
                    <c:v>V=15%</c:v>
                  </c:pt>
                  <c:pt idx="4">
                    <c:v>V=15%</c:v>
                  </c:pt>
                  <c:pt idx="5">
                    <c:v>V=15%</c:v>
                  </c:pt>
                  <c:pt idx="6">
                    <c:v>V=15%</c:v>
                  </c:pt>
                  <c:pt idx="7">
                    <c:v>V=15%</c:v>
                  </c:pt>
                  <c:pt idx="8">
                    <c:v>V=15%</c:v>
                  </c:pt>
                  <c:pt idx="9">
                    <c:v>V=15%</c:v>
                  </c:pt>
                  <c:pt idx="10">
                    <c:v>V=15%</c:v>
                  </c:pt>
                  <c:pt idx="11">
                    <c:v>V=15%</c:v>
                  </c:pt>
                  <c:pt idx="12">
                    <c:v>V=15%</c:v>
                  </c:pt>
                  <c:pt idx="13">
                    <c:v>V=15%</c:v>
                  </c:pt>
                  <c:pt idx="14">
                    <c:v>V=15%</c:v>
                  </c:pt>
                  <c:pt idx="15">
                    <c:v>V=15%</c:v>
                  </c:pt>
                  <c:pt idx="16">
                    <c:v>V=50%</c:v>
                  </c:pt>
                  <c:pt idx="17">
                    <c:v>V=50%</c:v>
                  </c:pt>
                  <c:pt idx="18">
                    <c:v>V=50%</c:v>
                  </c:pt>
                  <c:pt idx="19">
                    <c:v>V=50%</c:v>
                  </c:pt>
                  <c:pt idx="20">
                    <c:v>V=50%</c:v>
                  </c:pt>
                  <c:pt idx="21">
                    <c:v>V=50%</c:v>
                  </c:pt>
                  <c:pt idx="22">
                    <c:v>V=50%</c:v>
                  </c:pt>
                  <c:pt idx="23">
                    <c:v>V=50%</c:v>
                  </c:pt>
                  <c:pt idx="24">
                    <c:v>V=50%</c:v>
                  </c:pt>
                  <c:pt idx="25">
                    <c:v>V=50%</c:v>
                  </c:pt>
                  <c:pt idx="26">
                    <c:v>V=50%</c:v>
                  </c:pt>
                  <c:pt idx="27">
                    <c:v>V=50%</c:v>
                  </c:pt>
                  <c:pt idx="28">
                    <c:v>V=50%</c:v>
                  </c:pt>
                  <c:pt idx="29">
                    <c:v>V=50%</c:v>
                  </c:pt>
                  <c:pt idx="30">
                    <c:v>V=50%</c:v>
                  </c:pt>
                  <c:pt idx="31">
                    <c:v>V=50%</c:v>
                  </c:pt>
                  <c:pt idx="32">
                    <c:v>V=50%</c:v>
                  </c:pt>
                  <c:pt idx="33">
                    <c:v>V=85%</c:v>
                  </c:pt>
                  <c:pt idx="34">
                    <c:v>V=85%</c:v>
                  </c:pt>
                  <c:pt idx="35">
                    <c:v>V=85%</c:v>
                  </c:pt>
                  <c:pt idx="36">
                    <c:v>V=85%</c:v>
                  </c:pt>
                  <c:pt idx="37">
                    <c:v>V=85%</c:v>
                  </c:pt>
                  <c:pt idx="38">
                    <c:v>V=85%</c:v>
                  </c:pt>
                  <c:pt idx="39">
                    <c:v>V=85%</c:v>
                  </c:pt>
                  <c:pt idx="40">
                    <c:v>V=85%</c:v>
                  </c:pt>
                  <c:pt idx="41">
                    <c:v>V=85%</c:v>
                  </c:pt>
                  <c:pt idx="42">
                    <c:v>V=85%</c:v>
                  </c:pt>
                  <c:pt idx="43">
                    <c:v>V=85%</c:v>
                  </c:pt>
                  <c:pt idx="44">
                    <c:v>V=85%</c:v>
                  </c:pt>
                  <c:pt idx="45">
                    <c:v>V=85%</c:v>
                  </c:pt>
                  <c:pt idx="46">
                    <c:v>V=85%</c:v>
                  </c:pt>
                </c15:dlblRangeCache>
              </c15:datalabelsRange>
            </c:ext>
            <c:ext xmlns:c16="http://schemas.microsoft.com/office/drawing/2014/chart" uri="{C3380CC4-5D6E-409C-BE32-E72D297353CC}">
              <c16:uniqueId val="{00000000-F55B-40F6-BFF0-77F60C198EFC}"/>
            </c:ext>
          </c:extLst>
        </c:ser>
        <c:ser>
          <c:idx val="1"/>
          <c:order val="1"/>
          <c:tx>
            <c:v>Iq_Total_PSCAD</c:v>
          </c:tx>
          <c:spPr>
            <a:ln w="31750" cap="rnd">
              <a:solidFill>
                <a:schemeClr val="accent2"/>
              </a:solidFill>
              <a:round/>
            </a:ln>
            <a:effectLst/>
          </c:spPr>
          <c:marker>
            <c:symbol val="none"/>
          </c:marker>
          <c:val>
            <c:numRef>
              <c:f>'Dynamic Data-RE'!$H$8:$H$54</c:f>
              <c:numCache>
                <c:formatCode>General</c:formatCode>
                <c:ptCount val="47"/>
                <c:pt idx="0">
                  <c:v>0.59160000000000001</c:v>
                </c:pt>
                <c:pt idx="1">
                  <c:v>0.27439999999999998</c:v>
                </c:pt>
                <c:pt idx="2">
                  <c:v>0.2747</c:v>
                </c:pt>
                <c:pt idx="3" formatCode="0.00%">
                  <c:v>0.26900000000000002</c:v>
                </c:pt>
                <c:pt idx="4">
                  <c:v>0.86729999999999996</c:v>
                </c:pt>
                <c:pt idx="5">
                  <c:v>0.87</c:v>
                </c:pt>
                <c:pt idx="6">
                  <c:v>0.44180000000000003</c:v>
                </c:pt>
                <c:pt idx="7" formatCode="0.00">
                  <c:v>0.94269999999999998</c:v>
                </c:pt>
                <c:pt idx="8" formatCode="0.00%">
                  <c:v>0.95120000000000005</c:v>
                </c:pt>
                <c:pt idx="9">
                  <c:v>0.29149999999999998</c:v>
                </c:pt>
                <c:pt idx="10">
                  <c:v>1.0899999999999999</c:v>
                </c:pt>
                <c:pt idx="11">
                  <c:v>0</c:v>
                </c:pt>
                <c:pt idx="12">
                  <c:v>0</c:v>
                </c:pt>
                <c:pt idx="13">
                  <c:v>0</c:v>
                </c:pt>
                <c:pt idx="14">
                  <c:v>0</c:v>
                </c:pt>
                <c:pt idx="15" formatCode="0.0000">
                  <c:v>0.12</c:v>
                </c:pt>
                <c:pt idx="16">
                  <c:v>0.32579999999999998</c:v>
                </c:pt>
                <c:pt idx="17">
                  <c:v>0.32679999999999998</c:v>
                </c:pt>
                <c:pt idx="18">
                  <c:v>0.27400000000000002</c:v>
                </c:pt>
                <c:pt idx="19">
                  <c:v>0.27300000000000002</c:v>
                </c:pt>
                <c:pt idx="20">
                  <c:v>0.26900000000000002</c:v>
                </c:pt>
                <c:pt idx="21">
                  <c:v>0.45540000000000003</c:v>
                </c:pt>
                <c:pt idx="22">
                  <c:v>0.46</c:v>
                </c:pt>
                <c:pt idx="23">
                  <c:v>0.94</c:v>
                </c:pt>
                <c:pt idx="24" formatCode="0.00">
                  <c:v>0.93840000000000001</c:v>
                </c:pt>
                <c:pt idx="25" formatCode="0.00%">
                  <c:v>0.95</c:v>
                </c:pt>
                <c:pt idx="26">
                  <c:v>0.29189999999999999</c:v>
                </c:pt>
                <c:pt idx="27">
                  <c:v>1.0900000000000001</c:v>
                </c:pt>
                <c:pt idx="28">
                  <c:v>0</c:v>
                </c:pt>
                <c:pt idx="29">
                  <c:v>0</c:v>
                </c:pt>
                <c:pt idx="30">
                  <c:v>0</c:v>
                </c:pt>
                <c:pt idx="31">
                  <c:v>0</c:v>
                </c:pt>
                <c:pt idx="32">
                  <c:v>0.34599999999999997</c:v>
                </c:pt>
                <c:pt idx="33">
                  <c:v>3.2599999999999997E-2</c:v>
                </c:pt>
                <c:pt idx="34">
                  <c:v>3.6299999999999999E-2</c:v>
                </c:pt>
                <c:pt idx="35">
                  <c:v>0.27</c:v>
                </c:pt>
                <c:pt idx="36">
                  <c:v>0.27329999999999999</c:v>
                </c:pt>
                <c:pt idx="37">
                  <c:v>0.26929999999999998</c:v>
                </c:pt>
                <c:pt idx="38">
                  <c:v>0.04</c:v>
                </c:pt>
                <c:pt idx="39">
                  <c:v>0.04</c:v>
                </c:pt>
                <c:pt idx="40">
                  <c:v>0.94840000000000002</c:v>
                </c:pt>
                <c:pt idx="41" formatCode="0.00">
                  <c:v>0.94689999999999996</c:v>
                </c:pt>
                <c:pt idx="42" formatCode="0.00%">
                  <c:v>0.95140000000000002</c:v>
                </c:pt>
                <c:pt idx="43">
                  <c:v>0.3</c:v>
                </c:pt>
                <c:pt idx="44">
                  <c:v>1.0900000000000001</c:v>
                </c:pt>
                <c:pt idx="45">
                  <c:v>0</c:v>
                </c:pt>
                <c:pt idx="46">
                  <c:v>0</c:v>
                </c:pt>
              </c:numCache>
            </c:numRef>
          </c:val>
          <c:extLst>
            <c:ext xmlns:c16="http://schemas.microsoft.com/office/drawing/2014/chart" uri="{C3380CC4-5D6E-409C-BE32-E72D297353CC}">
              <c16:uniqueId val="{00000001-F55B-40F6-BFF0-77F60C198EFC}"/>
            </c:ext>
          </c:extLst>
        </c:ser>
        <c:ser>
          <c:idx val="2"/>
          <c:order val="2"/>
          <c:tx>
            <c:v>Iq_Total_Upper_lim</c:v>
          </c:tx>
          <c:spPr>
            <a:ln w="31750" cap="rnd">
              <a:solidFill>
                <a:schemeClr val="accent3"/>
              </a:solidFill>
              <a:round/>
            </a:ln>
            <a:effectLst/>
          </c:spPr>
          <c:marker>
            <c:symbol val="none"/>
          </c:marker>
          <c:val>
            <c:numRef>
              <c:f>'Dynamic Data-RE'!$J$8:$J$54</c:f>
              <c:numCache>
                <c:formatCode>General</c:formatCode>
                <c:ptCount val="47"/>
                <c:pt idx="0">
                  <c:v>1</c:v>
                </c:pt>
                <c:pt idx="1">
                  <c:v>1</c:v>
                </c:pt>
                <c:pt idx="2">
                  <c:v>1</c:v>
                </c:pt>
                <c:pt idx="3">
                  <c:v>90</c:v>
                </c:pt>
                <c:pt idx="4">
                  <c:v>1</c:v>
                </c:pt>
                <c:pt idx="5">
                  <c:v>1</c:v>
                </c:pt>
                <c:pt idx="6">
                  <c:v>1</c:v>
                </c:pt>
                <c:pt idx="7">
                  <c:v>1</c:v>
                </c:pt>
                <c:pt idx="8">
                  <c:v>90</c:v>
                </c:pt>
                <c:pt idx="9">
                  <c:v>1</c:v>
                </c:pt>
                <c:pt idx="10">
                  <c:v>1</c:v>
                </c:pt>
                <c:pt idx="11">
                  <c:v>1</c:v>
                </c:pt>
                <c:pt idx="12">
                  <c:v>1</c:v>
                </c:pt>
                <c:pt idx="13">
                  <c:v>1</c:v>
                </c:pt>
                <c:pt idx="14">
                  <c:v>1</c:v>
                </c:pt>
                <c:pt idx="15">
                  <c:v>1</c:v>
                </c:pt>
                <c:pt idx="16">
                  <c:v>1</c:v>
                </c:pt>
                <c:pt idx="17">
                  <c:v>1</c:v>
                </c:pt>
                <c:pt idx="18">
                  <c:v>1</c:v>
                </c:pt>
                <c:pt idx="19">
                  <c:v>1</c:v>
                </c:pt>
                <c:pt idx="20">
                  <c:v>90</c:v>
                </c:pt>
                <c:pt idx="21">
                  <c:v>1</c:v>
                </c:pt>
                <c:pt idx="22">
                  <c:v>1</c:v>
                </c:pt>
                <c:pt idx="23">
                  <c:v>1</c:v>
                </c:pt>
                <c:pt idx="24">
                  <c:v>1</c:v>
                </c:pt>
                <c:pt idx="25">
                  <c:v>90</c:v>
                </c:pt>
                <c:pt idx="26">
                  <c:v>1</c:v>
                </c:pt>
                <c:pt idx="27">
                  <c:v>1</c:v>
                </c:pt>
                <c:pt idx="28">
                  <c:v>1</c:v>
                </c:pt>
                <c:pt idx="29">
                  <c:v>1</c:v>
                </c:pt>
                <c:pt idx="30">
                  <c:v>1</c:v>
                </c:pt>
                <c:pt idx="31">
                  <c:v>1</c:v>
                </c:pt>
                <c:pt idx="32">
                  <c:v>1</c:v>
                </c:pt>
                <c:pt idx="33">
                  <c:v>1</c:v>
                </c:pt>
                <c:pt idx="34">
                  <c:v>1</c:v>
                </c:pt>
                <c:pt idx="35">
                  <c:v>1</c:v>
                </c:pt>
                <c:pt idx="36">
                  <c:v>1</c:v>
                </c:pt>
                <c:pt idx="37">
                  <c:v>90</c:v>
                </c:pt>
                <c:pt idx="38">
                  <c:v>1</c:v>
                </c:pt>
                <c:pt idx="39">
                  <c:v>1</c:v>
                </c:pt>
                <c:pt idx="40">
                  <c:v>1</c:v>
                </c:pt>
                <c:pt idx="41">
                  <c:v>1</c:v>
                </c:pt>
                <c:pt idx="42">
                  <c:v>90</c:v>
                </c:pt>
                <c:pt idx="43">
                  <c:v>1</c:v>
                </c:pt>
                <c:pt idx="44">
                  <c:v>1</c:v>
                </c:pt>
                <c:pt idx="45">
                  <c:v>1</c:v>
                </c:pt>
                <c:pt idx="46">
                  <c:v>1</c:v>
                </c:pt>
              </c:numCache>
            </c:numRef>
          </c:val>
          <c:extLst>
            <c:ext xmlns:c16="http://schemas.microsoft.com/office/drawing/2014/chart" uri="{C3380CC4-5D6E-409C-BE32-E72D297353CC}">
              <c16:uniqueId val="{0000000E-F55B-40F6-BFF0-77F60C198EFC}"/>
            </c:ext>
          </c:extLst>
        </c:ser>
        <c:dLbls>
          <c:showLegendKey val="0"/>
          <c:showVal val="0"/>
          <c:showCatName val="0"/>
          <c:showSerName val="0"/>
          <c:showPercent val="0"/>
          <c:showBubbleSize val="0"/>
        </c:dLbls>
        <c:axId val="567699680"/>
        <c:axId val="567700160"/>
      </c:radarChart>
      <c:catAx>
        <c:axId val="567699680"/>
        <c:scaling>
          <c:orientation val="minMax"/>
        </c:scaling>
        <c:delete val="1"/>
        <c:axPos val="b"/>
        <c:numFmt formatCode="General" sourceLinked="1"/>
        <c:majorTickMark val="none"/>
        <c:minorTickMark val="none"/>
        <c:tickLblPos val="nextTo"/>
        <c:crossAx val="567700160"/>
        <c:crosses val="autoZero"/>
        <c:auto val="1"/>
        <c:lblAlgn val="ctr"/>
        <c:lblOffset val="100"/>
        <c:noMultiLvlLbl val="0"/>
      </c:catAx>
      <c:valAx>
        <c:axId val="56770016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76996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baseline="0">
                <a:solidFill>
                  <a:schemeClr val="tx2"/>
                </a:solidFill>
                <a:latin typeface="+mn-lt"/>
                <a:ea typeface="+mn-ea"/>
                <a:cs typeface="+mn-cs"/>
              </a:defRPr>
            </a:pPr>
            <a:r>
              <a:rPr lang="en-IN" sz="2400"/>
              <a:t>LVRT_Iq_Pos_2PH</a:t>
            </a:r>
          </a:p>
          <a:p>
            <a:pPr>
              <a:defRPr sz="2400"/>
            </a:pPr>
            <a:r>
              <a:rPr lang="en-IN" sz="2400"/>
              <a:t>INV/WTG/PCS/SVG</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2"/>
              </a:solidFill>
              <a:latin typeface="+mn-lt"/>
              <a:ea typeface="+mn-ea"/>
              <a:cs typeface="+mn-cs"/>
            </a:defRPr>
          </a:pPr>
          <a:endParaRPr lang="en-US"/>
        </a:p>
      </c:txPr>
    </c:title>
    <c:autoTitleDeleted val="0"/>
    <c:plotArea>
      <c:layout/>
      <c:radarChart>
        <c:radarStyle val="marker"/>
        <c:varyColors val="0"/>
        <c:ser>
          <c:idx val="1"/>
          <c:order val="0"/>
          <c:tx>
            <c:v>Iq_Total_PSCAD</c:v>
          </c:tx>
          <c:spPr>
            <a:ln w="31750" cap="rnd">
              <a:solidFill>
                <a:schemeClr val="accent2"/>
              </a:solidFill>
              <a:round/>
            </a:ln>
            <a:effectLst/>
          </c:spPr>
          <c:marker>
            <c:symbol val="none"/>
          </c:marker>
          <c:dLbls>
            <c:dLbl>
              <c:idx val="0"/>
              <c:tx>
                <c:rich>
                  <a:bodyPr/>
                  <a:lstStyle/>
                  <a:p>
                    <a:fld id="{A2114ACC-4A5E-4EB0-9218-3F36DABE6D5A}" type="CELLRANGE">
                      <a:rPr lang="en-US"/>
                      <a:pPr/>
                      <a:t>[CELLRANGE]</a:t>
                    </a:fld>
                    <a:r>
                      <a:rPr lang="en-US" baseline="0"/>
                      <a:t>, </a:t>
                    </a:r>
                    <a:fld id="{51982E6D-18DF-44B1-8A74-8AD74C294CA7}" type="CATEGORYNAME">
                      <a:rPr lang="en-US" baseline="0"/>
                      <a:pPr/>
                      <a:t>[CATEGORY NAME]</a:t>
                    </a:fld>
                    <a:r>
                      <a:rPr lang="en-US" baseline="0"/>
                      <a:t>, </a:t>
                    </a:r>
                    <a:fld id="{72EA6FE0-4014-4052-A77A-425D26A5C384}"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7C4-4AC0-9E5D-3E5B2B1EE472}"/>
                </c:ext>
              </c:extLst>
            </c:dLbl>
            <c:dLbl>
              <c:idx val="1"/>
              <c:tx>
                <c:rich>
                  <a:bodyPr/>
                  <a:lstStyle/>
                  <a:p>
                    <a:fld id="{6C75D6E6-0BEA-4F9B-9C4D-1C6A137B1E33}" type="CELLRANGE">
                      <a:rPr lang="en-US"/>
                      <a:pPr/>
                      <a:t>[CELLRANGE]</a:t>
                    </a:fld>
                    <a:r>
                      <a:rPr lang="en-US" baseline="0"/>
                      <a:t>, </a:t>
                    </a:r>
                    <a:fld id="{0AA3C1BF-19E7-4052-BA50-CFF0C3F0FCBC}" type="CATEGORYNAME">
                      <a:rPr lang="en-US" baseline="0"/>
                      <a:pPr/>
                      <a:t>[CATEGORY NAME]</a:t>
                    </a:fld>
                    <a:r>
                      <a:rPr lang="en-US" baseline="0"/>
                      <a:t>, </a:t>
                    </a:r>
                    <a:fld id="{84230BB6-6C0D-45BD-BACF-7406BC5BE6D7}"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7C4-4AC0-9E5D-3E5B2B1EE472}"/>
                </c:ext>
              </c:extLst>
            </c:dLbl>
            <c:dLbl>
              <c:idx val="2"/>
              <c:tx>
                <c:rich>
                  <a:bodyPr/>
                  <a:lstStyle/>
                  <a:p>
                    <a:fld id="{7058CCE3-E1E6-459B-A8DC-7D711C1AD73B}" type="CELLRANGE">
                      <a:rPr lang="en-US"/>
                      <a:pPr/>
                      <a:t>[CELLRANGE]</a:t>
                    </a:fld>
                    <a:r>
                      <a:rPr lang="en-US" baseline="0"/>
                      <a:t>, </a:t>
                    </a:r>
                    <a:fld id="{1966F408-B0D5-4D39-89C4-67F8641CD98A}" type="CATEGORYNAME">
                      <a:rPr lang="en-US" baseline="0"/>
                      <a:pPr/>
                      <a:t>[CATEGORY NAME]</a:t>
                    </a:fld>
                    <a:r>
                      <a:rPr lang="en-US" baseline="0"/>
                      <a:t>, </a:t>
                    </a:r>
                    <a:fld id="{E442BC13-4DA8-4E85-A551-F841D453F2A2}"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7C4-4AC0-9E5D-3E5B2B1EE472}"/>
                </c:ext>
              </c:extLst>
            </c:dLbl>
            <c:dLbl>
              <c:idx val="3"/>
              <c:tx>
                <c:rich>
                  <a:bodyPr/>
                  <a:lstStyle/>
                  <a:p>
                    <a:fld id="{BB43A99C-F941-448B-BE5E-193029390399}" type="CELLRANGE">
                      <a:rPr lang="en-US"/>
                      <a:pPr/>
                      <a:t>[CELLRANGE]</a:t>
                    </a:fld>
                    <a:r>
                      <a:rPr lang="en-US" baseline="0"/>
                      <a:t>, </a:t>
                    </a:r>
                    <a:fld id="{801F7041-074B-4809-837B-EFCEF6E88635}" type="CATEGORYNAME">
                      <a:rPr lang="en-US" baseline="0"/>
                      <a:pPr/>
                      <a:t>[CATEGORY NAME]</a:t>
                    </a:fld>
                    <a:r>
                      <a:rPr lang="en-US" baseline="0"/>
                      <a:t>, </a:t>
                    </a:r>
                    <a:fld id="{183332E0-EC68-4FDA-9D93-721435063E39}"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B7C4-4AC0-9E5D-3E5B2B1EE472}"/>
                </c:ext>
              </c:extLst>
            </c:dLbl>
            <c:dLbl>
              <c:idx val="4"/>
              <c:tx>
                <c:rich>
                  <a:bodyPr/>
                  <a:lstStyle/>
                  <a:p>
                    <a:fld id="{823999D8-4515-498F-A6AC-3B8D56BA3DC6}" type="CELLRANGE">
                      <a:rPr lang="en-US"/>
                      <a:pPr/>
                      <a:t>[CELLRANGE]</a:t>
                    </a:fld>
                    <a:r>
                      <a:rPr lang="en-US" baseline="0"/>
                      <a:t>, </a:t>
                    </a:r>
                    <a:fld id="{5CA8ECA9-050A-4EDF-A20A-AD0F386EBDF2}" type="CATEGORYNAME">
                      <a:rPr lang="en-US" baseline="0"/>
                      <a:pPr/>
                      <a:t>[CATEGORY NAME]</a:t>
                    </a:fld>
                    <a:r>
                      <a:rPr lang="en-US" baseline="0"/>
                      <a:t>, </a:t>
                    </a:r>
                    <a:fld id="{BA353667-B5B1-48E0-9023-11931ECE28FD}"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B7C4-4AC0-9E5D-3E5B2B1EE472}"/>
                </c:ext>
              </c:extLst>
            </c:dLbl>
            <c:dLbl>
              <c:idx val="5"/>
              <c:tx>
                <c:rich>
                  <a:bodyPr/>
                  <a:lstStyle/>
                  <a:p>
                    <a:fld id="{AECF7E20-DA5A-47CB-A0D9-70538B351A04}" type="CELLRANGE">
                      <a:rPr lang="en-US"/>
                      <a:pPr/>
                      <a:t>[CELLRANGE]</a:t>
                    </a:fld>
                    <a:r>
                      <a:rPr lang="en-US" baseline="0"/>
                      <a:t>, </a:t>
                    </a:r>
                    <a:fld id="{C12A6740-7344-4785-8C57-9E6EC9BF8357}" type="CATEGORYNAME">
                      <a:rPr lang="en-US" baseline="0"/>
                      <a:pPr/>
                      <a:t>[CATEGORY NAME]</a:t>
                    </a:fld>
                    <a:r>
                      <a:rPr lang="en-US" baseline="0"/>
                      <a:t>, </a:t>
                    </a:r>
                    <a:fld id="{71368D71-7413-4AF6-B59B-0CA926F684C1}"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B7C4-4AC0-9E5D-3E5B2B1EE472}"/>
                </c:ext>
              </c:extLst>
            </c:dLbl>
            <c:dLbl>
              <c:idx val="6"/>
              <c:tx>
                <c:rich>
                  <a:bodyPr/>
                  <a:lstStyle/>
                  <a:p>
                    <a:fld id="{77B99BBE-6C3D-428D-9A9D-BA1FC8E3B269}" type="CELLRANGE">
                      <a:rPr lang="en-US"/>
                      <a:pPr/>
                      <a:t>[CELLRANGE]</a:t>
                    </a:fld>
                    <a:r>
                      <a:rPr lang="en-US" baseline="0"/>
                      <a:t>, </a:t>
                    </a:r>
                    <a:fld id="{7BE29CA2-5BCD-4C59-B1EE-D82AF6213DB6}" type="CATEGORYNAME">
                      <a:rPr lang="en-US" baseline="0"/>
                      <a:pPr/>
                      <a:t>[CATEGORY NAME]</a:t>
                    </a:fld>
                    <a:r>
                      <a:rPr lang="en-US" baseline="0"/>
                      <a:t>, </a:t>
                    </a:r>
                    <a:fld id="{15DA2625-B55F-4E16-A519-E97C422B9727}"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B7C4-4AC0-9E5D-3E5B2B1EE472}"/>
                </c:ext>
              </c:extLst>
            </c:dLbl>
            <c:dLbl>
              <c:idx val="7"/>
              <c:tx>
                <c:rich>
                  <a:bodyPr/>
                  <a:lstStyle/>
                  <a:p>
                    <a:fld id="{28FBFB4D-C671-4275-A18E-51F77430154A}" type="CELLRANGE">
                      <a:rPr lang="en-US"/>
                      <a:pPr/>
                      <a:t>[CELLRANGE]</a:t>
                    </a:fld>
                    <a:r>
                      <a:rPr lang="en-US" baseline="0"/>
                      <a:t>, </a:t>
                    </a:r>
                    <a:fld id="{FD264527-B2DB-42D6-8A62-1EFF38C206FA}" type="CATEGORYNAME">
                      <a:rPr lang="en-US" baseline="0"/>
                      <a:pPr/>
                      <a:t>[CATEGORY NAME]</a:t>
                    </a:fld>
                    <a:r>
                      <a:rPr lang="en-US" baseline="0"/>
                      <a:t>, </a:t>
                    </a:r>
                    <a:fld id="{27BB4C9A-D23D-469E-93F7-F38DAEDEC1A3}"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B7C4-4AC0-9E5D-3E5B2B1EE472}"/>
                </c:ext>
              </c:extLst>
            </c:dLbl>
            <c:dLbl>
              <c:idx val="8"/>
              <c:tx>
                <c:rich>
                  <a:bodyPr/>
                  <a:lstStyle/>
                  <a:p>
                    <a:fld id="{5A0303E8-C5F2-4899-9C0D-08DB0E8BCFA7}" type="CELLRANGE">
                      <a:rPr lang="en-US"/>
                      <a:pPr/>
                      <a:t>[CELLRANGE]</a:t>
                    </a:fld>
                    <a:r>
                      <a:rPr lang="en-US" baseline="0"/>
                      <a:t>, </a:t>
                    </a:r>
                    <a:fld id="{0CE19086-237A-47FA-AE6E-96BB95594432}" type="CATEGORYNAME">
                      <a:rPr lang="en-US" baseline="0"/>
                      <a:pPr/>
                      <a:t>[CATEGORY NAME]</a:t>
                    </a:fld>
                    <a:r>
                      <a:rPr lang="en-US" baseline="0"/>
                      <a:t>, </a:t>
                    </a:r>
                    <a:fld id="{38A22FDB-0E8E-4241-9BBC-F56D4B42A535}"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B7C4-4AC0-9E5D-3E5B2B1EE472}"/>
                </c:ext>
              </c:extLst>
            </c:dLbl>
            <c:dLbl>
              <c:idx val="9"/>
              <c:tx>
                <c:rich>
                  <a:bodyPr/>
                  <a:lstStyle/>
                  <a:p>
                    <a:fld id="{DD13400B-93B8-4B83-96E4-DC80093D22CB}" type="CELLRANGE">
                      <a:rPr lang="en-US"/>
                      <a:pPr/>
                      <a:t>[CELLRANGE]</a:t>
                    </a:fld>
                    <a:r>
                      <a:rPr lang="en-US" baseline="0"/>
                      <a:t>, </a:t>
                    </a:r>
                    <a:fld id="{57A2ABCD-52B0-475E-9A96-239D4524C6DF}" type="CATEGORYNAME">
                      <a:rPr lang="en-US" baseline="0"/>
                      <a:pPr/>
                      <a:t>[CATEGORY NAME]</a:t>
                    </a:fld>
                    <a:r>
                      <a:rPr lang="en-US" baseline="0"/>
                      <a:t>, </a:t>
                    </a:r>
                    <a:fld id="{111DB4CB-40D8-4C54-9321-57CA9C720D2D}"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B7C4-4AC0-9E5D-3E5B2B1EE472}"/>
                </c:ext>
              </c:extLst>
            </c:dLbl>
            <c:dLbl>
              <c:idx val="10"/>
              <c:tx>
                <c:rich>
                  <a:bodyPr/>
                  <a:lstStyle/>
                  <a:p>
                    <a:fld id="{2714B4D2-24D0-4289-A3FC-AF4C53C3C7EF}" type="CELLRANGE">
                      <a:rPr lang="en-US"/>
                      <a:pPr/>
                      <a:t>[CELLRANGE]</a:t>
                    </a:fld>
                    <a:r>
                      <a:rPr lang="en-US" baseline="0"/>
                      <a:t>, </a:t>
                    </a:r>
                    <a:fld id="{1DEF556B-7E91-47A0-B49F-34823B9A5FF7}" type="CATEGORYNAME">
                      <a:rPr lang="en-US" baseline="0"/>
                      <a:pPr/>
                      <a:t>[CATEGORY NAME]</a:t>
                    </a:fld>
                    <a:r>
                      <a:rPr lang="en-US" baseline="0"/>
                      <a:t>, </a:t>
                    </a:r>
                    <a:fld id="{0CDA59E5-139B-444C-B4ED-8DF80E230108}"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B7C4-4AC0-9E5D-3E5B2B1EE472}"/>
                </c:ext>
              </c:extLst>
            </c:dLbl>
            <c:dLbl>
              <c:idx val="11"/>
              <c:tx>
                <c:rich>
                  <a:bodyPr/>
                  <a:lstStyle/>
                  <a:p>
                    <a:fld id="{2346CD85-CC20-4B36-A67C-593E01127DCD}" type="CELLRANGE">
                      <a:rPr lang="en-US"/>
                      <a:pPr/>
                      <a:t>[CELLRANGE]</a:t>
                    </a:fld>
                    <a:r>
                      <a:rPr lang="en-US" baseline="0"/>
                      <a:t>, </a:t>
                    </a:r>
                    <a:fld id="{E9E64382-04CB-446B-819C-F336A3E7B3E0}" type="CATEGORYNAME">
                      <a:rPr lang="en-US" baseline="0"/>
                      <a:pPr/>
                      <a:t>[CATEGORY NAME]</a:t>
                    </a:fld>
                    <a:r>
                      <a:rPr lang="en-US" baseline="0"/>
                      <a:t>, </a:t>
                    </a:r>
                    <a:fld id="{78FCEB73-F771-4C81-92A4-90D04004ADEE}"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B7C4-4AC0-9E5D-3E5B2B1EE472}"/>
                </c:ext>
              </c:extLst>
            </c:dLbl>
            <c:dLbl>
              <c:idx val="12"/>
              <c:tx>
                <c:rich>
                  <a:bodyPr/>
                  <a:lstStyle/>
                  <a:p>
                    <a:fld id="{E6A65FAD-3F9E-45A5-AB2E-C0F2A5C3D480}" type="CELLRANGE">
                      <a:rPr lang="en-US"/>
                      <a:pPr/>
                      <a:t>[CELLRANGE]</a:t>
                    </a:fld>
                    <a:r>
                      <a:rPr lang="en-US" baseline="0"/>
                      <a:t>, </a:t>
                    </a:r>
                    <a:fld id="{3BB766E4-FF6F-40E8-9423-D36E4FD805A7}" type="CATEGORYNAME">
                      <a:rPr lang="en-US" baseline="0"/>
                      <a:pPr/>
                      <a:t>[CATEGORY NAME]</a:t>
                    </a:fld>
                    <a:r>
                      <a:rPr lang="en-US" baseline="0"/>
                      <a:t>, </a:t>
                    </a:r>
                    <a:fld id="{B2C089FC-B1EA-47A1-8590-D588C6F3E6A2}"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7FA-4969-ADFE-197D0F625665}"/>
                </c:ext>
              </c:extLst>
            </c:dLbl>
            <c:dLbl>
              <c:idx val="13"/>
              <c:tx>
                <c:rich>
                  <a:bodyPr/>
                  <a:lstStyle/>
                  <a:p>
                    <a:fld id="{F6EA8CF7-12FB-4160-8098-221179FFA424}" type="CELLRANGE">
                      <a:rPr lang="en-US"/>
                      <a:pPr/>
                      <a:t>[CELLRANGE]</a:t>
                    </a:fld>
                    <a:r>
                      <a:rPr lang="en-US" baseline="0"/>
                      <a:t>, </a:t>
                    </a:r>
                    <a:fld id="{C5E354D6-348D-42CE-BFEB-BE6E1F463312}" type="CATEGORYNAME">
                      <a:rPr lang="en-US" baseline="0"/>
                      <a:pPr/>
                      <a:t>[CATEGORY NAME]</a:t>
                    </a:fld>
                    <a:r>
                      <a:rPr lang="en-US" baseline="0"/>
                      <a:t>, </a:t>
                    </a:r>
                    <a:fld id="{7981C428-DB54-4B92-A152-B9C1CCC3D170}"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7FA-4969-ADFE-197D0F625665}"/>
                </c:ext>
              </c:extLst>
            </c:dLbl>
            <c:dLbl>
              <c:idx val="14"/>
              <c:tx>
                <c:rich>
                  <a:bodyPr/>
                  <a:lstStyle/>
                  <a:p>
                    <a:fld id="{C8978DA8-254D-469A-9E79-8D520D1B7BBC}" type="CELLRANGE">
                      <a:rPr lang="en-US"/>
                      <a:pPr/>
                      <a:t>[CELLRANGE]</a:t>
                    </a:fld>
                    <a:r>
                      <a:rPr lang="en-US" baseline="0"/>
                      <a:t>, </a:t>
                    </a:r>
                    <a:fld id="{E9E0B529-B633-499B-86DD-87688CA29CFD}" type="CATEGORYNAME">
                      <a:rPr lang="en-US" baseline="0"/>
                      <a:pPr/>
                      <a:t>[CATEGORY NAME]</a:t>
                    </a:fld>
                    <a:r>
                      <a:rPr lang="en-US" baseline="0"/>
                      <a:t>, </a:t>
                    </a:r>
                    <a:fld id="{57B01FAE-9891-4226-AA6D-7240644CC3C2}"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7FA-4969-ADFE-197D0F625665}"/>
                </c:ext>
              </c:extLst>
            </c:dLbl>
            <c:dLbl>
              <c:idx val="15"/>
              <c:tx>
                <c:rich>
                  <a:bodyPr/>
                  <a:lstStyle/>
                  <a:p>
                    <a:fld id="{C480DDA2-C13C-495A-9698-CB8E15EF0777}" type="CELLRANGE">
                      <a:rPr lang="en-US"/>
                      <a:pPr/>
                      <a:t>[CELLRANGE]</a:t>
                    </a:fld>
                    <a:r>
                      <a:rPr lang="en-US" baseline="0"/>
                      <a:t>, </a:t>
                    </a:r>
                    <a:fld id="{4C768368-9269-41F4-A081-9221A06346C0}" type="CATEGORYNAME">
                      <a:rPr lang="en-US" baseline="0"/>
                      <a:pPr/>
                      <a:t>[CATEGORY NAME]</a:t>
                    </a:fld>
                    <a:r>
                      <a:rPr lang="en-US" baseline="0"/>
                      <a:t>, </a:t>
                    </a:r>
                    <a:fld id="{429C1A33-7BBA-4BCA-9FA0-3BF6AD228F1E}"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7FA-4969-ADFE-197D0F625665}"/>
                </c:ext>
              </c:extLst>
            </c:dLbl>
            <c:dLbl>
              <c:idx val="16"/>
              <c:tx>
                <c:rich>
                  <a:bodyPr/>
                  <a:lstStyle/>
                  <a:p>
                    <a:fld id="{951C41F0-8490-47BC-8EF7-AE2465F841BC}" type="CELLRANGE">
                      <a:rPr lang="en-US"/>
                      <a:pPr/>
                      <a:t>[CELLRANGE]</a:t>
                    </a:fld>
                    <a:r>
                      <a:rPr lang="en-US" baseline="0"/>
                      <a:t>, </a:t>
                    </a:r>
                    <a:fld id="{A04D6DCF-F711-418C-9989-DE372792A5AE}" type="CATEGORYNAME">
                      <a:rPr lang="en-US" baseline="0"/>
                      <a:pPr/>
                      <a:t>[CATEGORY NAME]</a:t>
                    </a:fld>
                    <a:r>
                      <a:rPr lang="en-US" baseline="0"/>
                      <a:t>, </a:t>
                    </a:r>
                    <a:fld id="{D8FC3B37-D379-4872-9AAC-62805C21FF12}"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7FA-4969-ADFE-197D0F625665}"/>
                </c:ext>
              </c:extLst>
            </c:dLbl>
            <c:dLbl>
              <c:idx val="17"/>
              <c:tx>
                <c:rich>
                  <a:bodyPr/>
                  <a:lstStyle/>
                  <a:p>
                    <a:fld id="{7778548C-A22A-4B3E-A77D-BA1B7CEBD75E}" type="CELLRANGE">
                      <a:rPr lang="en-US"/>
                      <a:pPr/>
                      <a:t>[CELLRANGE]</a:t>
                    </a:fld>
                    <a:r>
                      <a:rPr lang="en-US" baseline="0"/>
                      <a:t>, </a:t>
                    </a:r>
                    <a:fld id="{A58E3290-E08D-4F37-AE31-8898E1708D50}" type="CATEGORYNAME">
                      <a:rPr lang="en-US" baseline="0"/>
                      <a:pPr/>
                      <a:t>[CATEGORY NAME]</a:t>
                    </a:fld>
                    <a:r>
                      <a:rPr lang="en-US" baseline="0"/>
                      <a:t>, </a:t>
                    </a:r>
                    <a:fld id="{721876E1-5489-4205-8B73-FE30DE9DC409}"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7FA-4969-ADFE-197D0F625665}"/>
                </c:ext>
              </c:extLst>
            </c:dLbl>
            <c:dLbl>
              <c:idx val="18"/>
              <c:tx>
                <c:rich>
                  <a:bodyPr/>
                  <a:lstStyle/>
                  <a:p>
                    <a:fld id="{8BD9419B-1D20-4CB2-91E5-55A578987A44}" type="CELLRANGE">
                      <a:rPr lang="en-US"/>
                      <a:pPr/>
                      <a:t>[CELLRANGE]</a:t>
                    </a:fld>
                    <a:r>
                      <a:rPr lang="en-US" baseline="0"/>
                      <a:t>, </a:t>
                    </a:r>
                    <a:fld id="{CB8217D4-441F-4E6B-A6F9-E491C4BE58F2}" type="CATEGORYNAME">
                      <a:rPr lang="en-US" baseline="0"/>
                      <a:pPr/>
                      <a:t>[CATEGORY NAME]</a:t>
                    </a:fld>
                    <a:r>
                      <a:rPr lang="en-US" baseline="0"/>
                      <a:t>, </a:t>
                    </a:r>
                    <a:fld id="{F43A0A02-FFB5-4948-9065-6A17DA03B740}"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7FA-4969-ADFE-197D0F625665}"/>
                </c:ext>
              </c:extLst>
            </c:dLbl>
            <c:dLbl>
              <c:idx val="19"/>
              <c:tx>
                <c:rich>
                  <a:bodyPr/>
                  <a:lstStyle/>
                  <a:p>
                    <a:fld id="{7417C723-523D-490D-A528-5B3A0F169AC5}" type="CELLRANGE">
                      <a:rPr lang="en-US"/>
                      <a:pPr/>
                      <a:t>[CELLRANGE]</a:t>
                    </a:fld>
                    <a:r>
                      <a:rPr lang="en-US" baseline="0"/>
                      <a:t>, </a:t>
                    </a:r>
                    <a:fld id="{67693167-9A53-49A6-8AC5-113294863184}" type="CATEGORYNAME">
                      <a:rPr lang="en-US" baseline="0"/>
                      <a:pPr/>
                      <a:t>[CATEGORY NAME]</a:t>
                    </a:fld>
                    <a:r>
                      <a:rPr lang="en-US" baseline="0"/>
                      <a:t>, </a:t>
                    </a:r>
                    <a:fld id="{195E65E9-83C6-48E4-BC3B-4F54777B0284}"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7FA-4969-ADFE-197D0F625665}"/>
                </c:ext>
              </c:extLst>
            </c:dLbl>
            <c:dLbl>
              <c:idx val="20"/>
              <c:tx>
                <c:rich>
                  <a:bodyPr/>
                  <a:lstStyle/>
                  <a:p>
                    <a:fld id="{619AAD40-7040-4EB9-A64D-E593AAE6552D}" type="CELLRANGE">
                      <a:rPr lang="en-US"/>
                      <a:pPr/>
                      <a:t>[CELLRANGE]</a:t>
                    </a:fld>
                    <a:r>
                      <a:rPr lang="en-US" baseline="0"/>
                      <a:t>, </a:t>
                    </a:r>
                    <a:fld id="{B5A175F6-DECC-494E-A955-EE23C2B2E420}" type="CATEGORYNAME">
                      <a:rPr lang="en-US" baseline="0"/>
                      <a:pPr/>
                      <a:t>[CATEGORY NAME]</a:t>
                    </a:fld>
                    <a:r>
                      <a:rPr lang="en-US" baseline="0"/>
                      <a:t>, </a:t>
                    </a:r>
                    <a:fld id="{29B1FBAD-0020-4F8C-913D-C5B2C6749577}"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7FA-4969-ADFE-197D0F625665}"/>
                </c:ext>
              </c:extLst>
            </c:dLbl>
            <c:dLbl>
              <c:idx val="21"/>
              <c:tx>
                <c:rich>
                  <a:bodyPr/>
                  <a:lstStyle/>
                  <a:p>
                    <a:fld id="{AAF7BB27-CBC6-43AC-97FD-A4274B6EF412}" type="CELLRANGE">
                      <a:rPr lang="en-US"/>
                      <a:pPr/>
                      <a:t>[CELLRANGE]</a:t>
                    </a:fld>
                    <a:r>
                      <a:rPr lang="en-US" baseline="0"/>
                      <a:t>, </a:t>
                    </a:r>
                    <a:fld id="{2B23BBF3-3CA4-4FD2-AE73-49532C0C36E5}" type="CATEGORYNAME">
                      <a:rPr lang="en-US" baseline="0"/>
                      <a:pPr/>
                      <a:t>[CATEGORY NAME]</a:t>
                    </a:fld>
                    <a:r>
                      <a:rPr lang="en-US" baseline="0"/>
                      <a:t>, </a:t>
                    </a:r>
                    <a:fld id="{551F0953-7567-4A0D-B3E3-96EB872FCBEC}"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7FA-4969-ADFE-197D0F625665}"/>
                </c:ext>
              </c:extLst>
            </c:dLbl>
            <c:dLbl>
              <c:idx val="22"/>
              <c:tx>
                <c:rich>
                  <a:bodyPr/>
                  <a:lstStyle/>
                  <a:p>
                    <a:fld id="{092FEDC8-4B1B-4338-9615-433C7AC63FD2}" type="CELLRANGE">
                      <a:rPr lang="en-US"/>
                      <a:pPr/>
                      <a:t>[CELLRANGE]</a:t>
                    </a:fld>
                    <a:r>
                      <a:rPr lang="en-US" baseline="0"/>
                      <a:t>, </a:t>
                    </a:r>
                    <a:fld id="{97D32C62-DAF4-4546-AB27-961E5009038A}" type="CATEGORYNAME">
                      <a:rPr lang="en-US" baseline="0"/>
                      <a:pPr/>
                      <a:t>[CATEGORY NAME]</a:t>
                    </a:fld>
                    <a:r>
                      <a:rPr lang="en-US" baseline="0"/>
                      <a:t>, </a:t>
                    </a:r>
                    <a:fld id="{17D080FB-6981-469A-96D7-BFBC23CF523A}"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7FA-4969-ADFE-197D0F625665}"/>
                </c:ext>
              </c:extLst>
            </c:dLbl>
            <c:dLbl>
              <c:idx val="23"/>
              <c:tx>
                <c:rich>
                  <a:bodyPr/>
                  <a:lstStyle/>
                  <a:p>
                    <a:fld id="{178996D5-D26A-48E7-B70D-0F0A9CCA5713}" type="CELLRANGE">
                      <a:rPr lang="en-US"/>
                      <a:pPr/>
                      <a:t>[CELLRANGE]</a:t>
                    </a:fld>
                    <a:r>
                      <a:rPr lang="en-US" baseline="0"/>
                      <a:t>, </a:t>
                    </a:r>
                    <a:fld id="{42C8E50B-87A1-48E2-9EE3-C9CEFF1E1781}" type="CATEGORYNAME">
                      <a:rPr lang="en-US" baseline="0"/>
                      <a:pPr/>
                      <a:t>[CATEGORY NAME]</a:t>
                    </a:fld>
                    <a:r>
                      <a:rPr lang="en-US" baseline="0"/>
                      <a:t>, </a:t>
                    </a:r>
                    <a:fld id="{EB6C836D-5777-4666-98A3-07EA9DECB472}"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7FA-4969-ADFE-197D0F625665}"/>
                </c:ext>
              </c:extLst>
            </c:dLbl>
            <c:dLbl>
              <c:idx val="24"/>
              <c:tx>
                <c:rich>
                  <a:bodyPr/>
                  <a:lstStyle/>
                  <a:p>
                    <a:fld id="{8B4A01FC-488A-4AD8-9AD8-EF349E4834F0}" type="CELLRANGE">
                      <a:rPr lang="en-US"/>
                      <a:pPr/>
                      <a:t>[CELLRANGE]</a:t>
                    </a:fld>
                    <a:r>
                      <a:rPr lang="en-US" baseline="0"/>
                      <a:t>, </a:t>
                    </a:r>
                    <a:fld id="{46A5385C-A53A-4579-8C1A-3346FC2B8CF1}" type="CATEGORYNAME">
                      <a:rPr lang="en-US" baseline="0"/>
                      <a:pPr/>
                      <a:t>[CATEGORY NAME]</a:t>
                    </a:fld>
                    <a:r>
                      <a:rPr lang="en-US" baseline="0"/>
                      <a:t>, </a:t>
                    </a:r>
                    <a:fld id="{FFEE1F6E-2B55-40D0-8BBE-B6049425BEF7}"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7FA-4969-ADFE-197D0F625665}"/>
                </c:ext>
              </c:extLst>
            </c:dLbl>
            <c:dLbl>
              <c:idx val="25"/>
              <c:tx>
                <c:rich>
                  <a:bodyPr/>
                  <a:lstStyle/>
                  <a:p>
                    <a:fld id="{D06B8BC7-65F6-491C-A44A-13D22AD00912}" type="CELLRANGE">
                      <a:rPr lang="en-US"/>
                      <a:pPr/>
                      <a:t>[CELLRANGE]</a:t>
                    </a:fld>
                    <a:r>
                      <a:rPr lang="en-US" baseline="0"/>
                      <a:t>, </a:t>
                    </a:r>
                    <a:fld id="{E8A6DF1A-68D2-4CC8-9548-833DE2AB203C}" type="CATEGORYNAME">
                      <a:rPr lang="en-US" baseline="0"/>
                      <a:pPr/>
                      <a:t>[CATEGORY NAME]</a:t>
                    </a:fld>
                    <a:r>
                      <a:rPr lang="en-US" baseline="0"/>
                      <a:t>, </a:t>
                    </a:r>
                    <a:fld id="{A56154D7-42BD-4F7F-9398-B2DE0BB3FC2F}"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7FA-4969-ADFE-197D0F625665}"/>
                </c:ext>
              </c:extLst>
            </c:dLbl>
            <c:dLbl>
              <c:idx val="26"/>
              <c:tx>
                <c:rich>
                  <a:bodyPr/>
                  <a:lstStyle/>
                  <a:p>
                    <a:fld id="{CEE9996A-3B9E-49E5-9DF9-0396CA2E9CBC}" type="CELLRANGE">
                      <a:rPr lang="en-US"/>
                      <a:pPr/>
                      <a:t>[CELLRANGE]</a:t>
                    </a:fld>
                    <a:r>
                      <a:rPr lang="en-US" baseline="0"/>
                      <a:t>, </a:t>
                    </a:r>
                    <a:fld id="{3230E82C-F312-4C82-9A37-A0B5F6404CE4}" type="CATEGORYNAME">
                      <a:rPr lang="en-US" baseline="0"/>
                      <a:pPr/>
                      <a:t>[CATEGORY NAME]</a:t>
                    </a:fld>
                    <a:r>
                      <a:rPr lang="en-US" baseline="0"/>
                      <a:t>, </a:t>
                    </a:r>
                    <a:fld id="{53F5F60A-D332-48E2-A90D-AA5E65941003}"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7FA-4969-ADFE-197D0F625665}"/>
                </c:ext>
              </c:extLst>
            </c:dLbl>
            <c:dLbl>
              <c:idx val="27"/>
              <c:tx>
                <c:rich>
                  <a:bodyPr/>
                  <a:lstStyle/>
                  <a:p>
                    <a:fld id="{C7EA4C1B-2E14-499E-8A71-523D5BF4BDE9}" type="CELLRANGE">
                      <a:rPr lang="en-US"/>
                      <a:pPr/>
                      <a:t>[CELLRANGE]</a:t>
                    </a:fld>
                    <a:r>
                      <a:rPr lang="en-US" baseline="0"/>
                      <a:t>, </a:t>
                    </a:r>
                    <a:fld id="{A48E31BD-0611-4ACD-BAEC-33CE83E70622}" type="CATEGORYNAME">
                      <a:rPr lang="en-US" baseline="0"/>
                      <a:pPr/>
                      <a:t>[CATEGORY NAME]</a:t>
                    </a:fld>
                    <a:r>
                      <a:rPr lang="en-US" baseline="0"/>
                      <a:t>, </a:t>
                    </a:r>
                    <a:fld id="{716C60F9-CF8A-4696-A8C6-A94C32C1B300}"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7FA-4969-ADFE-197D0F625665}"/>
                </c:ext>
              </c:extLst>
            </c:dLbl>
            <c:dLbl>
              <c:idx val="28"/>
              <c:tx>
                <c:rich>
                  <a:bodyPr/>
                  <a:lstStyle/>
                  <a:p>
                    <a:fld id="{53184549-DBD9-45F7-9E32-DF9B51D2102C}" type="CELLRANGE">
                      <a:rPr lang="en-US"/>
                      <a:pPr/>
                      <a:t>[CELLRANGE]</a:t>
                    </a:fld>
                    <a:r>
                      <a:rPr lang="en-US" baseline="0"/>
                      <a:t>, </a:t>
                    </a:r>
                    <a:fld id="{F6DD4AEE-1F3A-4165-A979-E6F8BB140EBF}" type="CATEGORYNAME">
                      <a:rPr lang="en-US" baseline="0"/>
                      <a:pPr/>
                      <a:t>[CATEGORY NAME]</a:t>
                    </a:fld>
                    <a:r>
                      <a:rPr lang="en-US" baseline="0"/>
                      <a:t>, </a:t>
                    </a:r>
                    <a:fld id="{73B7D977-9DC8-402C-BC5F-EFF6F207E758}"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7FA-4969-ADFE-197D0F625665}"/>
                </c:ext>
              </c:extLst>
            </c:dLbl>
            <c:dLbl>
              <c:idx val="29"/>
              <c:tx>
                <c:rich>
                  <a:bodyPr/>
                  <a:lstStyle/>
                  <a:p>
                    <a:fld id="{77BD2377-BCED-4D65-9103-A896C88F856D}" type="CELLRANGE">
                      <a:rPr lang="en-US"/>
                      <a:pPr/>
                      <a:t>[CELLRANGE]</a:t>
                    </a:fld>
                    <a:r>
                      <a:rPr lang="en-US" baseline="0"/>
                      <a:t>, </a:t>
                    </a:r>
                    <a:fld id="{FDB91219-D0F2-46A4-A718-8A21B203382F}" type="CATEGORYNAME">
                      <a:rPr lang="en-US" baseline="0"/>
                      <a:pPr/>
                      <a:t>[CATEGORY NAME]</a:t>
                    </a:fld>
                    <a:r>
                      <a:rPr lang="en-US" baseline="0"/>
                      <a:t>, </a:t>
                    </a:r>
                    <a:fld id="{B7F18CC5-6824-4FA4-BC48-877295B2B6FC}"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B7FA-4969-ADFE-197D0F625665}"/>
                </c:ext>
              </c:extLst>
            </c:dLbl>
            <c:dLbl>
              <c:idx val="30"/>
              <c:tx>
                <c:rich>
                  <a:bodyPr/>
                  <a:lstStyle/>
                  <a:p>
                    <a:fld id="{B80952C0-186E-4A73-B1EE-F20A7500119A}" type="CELLRANGE">
                      <a:rPr lang="en-US"/>
                      <a:pPr/>
                      <a:t>[CELLRANGE]</a:t>
                    </a:fld>
                    <a:r>
                      <a:rPr lang="en-US" baseline="0"/>
                      <a:t>, </a:t>
                    </a:r>
                    <a:fld id="{99402C8B-ADB7-4F41-A552-65F9A3816AA5}" type="CATEGORYNAME">
                      <a:rPr lang="en-US" baseline="0"/>
                      <a:pPr/>
                      <a:t>[CATEGORY NAME]</a:t>
                    </a:fld>
                    <a:r>
                      <a:rPr lang="en-US" baseline="0"/>
                      <a:t>, </a:t>
                    </a:r>
                    <a:fld id="{7B3C55C3-A7FC-48F1-8428-3C6AB906877D}"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B7FA-4969-ADFE-197D0F625665}"/>
                </c:ext>
              </c:extLst>
            </c:dLbl>
            <c:dLbl>
              <c:idx val="31"/>
              <c:tx>
                <c:rich>
                  <a:bodyPr/>
                  <a:lstStyle/>
                  <a:p>
                    <a:fld id="{EA700405-C31B-47F0-9082-577568FECAF5}" type="CELLRANGE">
                      <a:rPr lang="en-US"/>
                      <a:pPr/>
                      <a:t>[CELLRANGE]</a:t>
                    </a:fld>
                    <a:r>
                      <a:rPr lang="en-US" baseline="0"/>
                      <a:t>, </a:t>
                    </a:r>
                    <a:fld id="{1C16A6B5-BA3D-4418-BA06-333B62EA7752}" type="CATEGORYNAME">
                      <a:rPr lang="en-US" baseline="0"/>
                      <a:pPr/>
                      <a:t>[CATEGORY NAME]</a:t>
                    </a:fld>
                    <a:r>
                      <a:rPr lang="en-US" baseline="0"/>
                      <a:t>, </a:t>
                    </a:r>
                    <a:fld id="{88AF3EFC-1EFA-458D-B984-4BFCAC412504}"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B7FA-4969-ADFE-197D0F625665}"/>
                </c:ext>
              </c:extLst>
            </c:dLbl>
            <c:dLbl>
              <c:idx val="32"/>
              <c:tx>
                <c:rich>
                  <a:bodyPr/>
                  <a:lstStyle/>
                  <a:p>
                    <a:fld id="{EFAF01E3-5478-47FF-A647-03B6FA2020D9}" type="CELLRANGE">
                      <a:rPr lang="en-US"/>
                      <a:pPr/>
                      <a:t>[CELLRANGE]</a:t>
                    </a:fld>
                    <a:r>
                      <a:rPr lang="en-US" baseline="0"/>
                      <a:t>, </a:t>
                    </a:r>
                    <a:fld id="{B0AF4915-08AB-4E67-8E1D-2A4714CF44EF}" type="CATEGORYNAME">
                      <a:rPr lang="en-US" baseline="0"/>
                      <a:pPr/>
                      <a:t>[CATEGORY NAME]</a:t>
                    </a:fld>
                    <a:r>
                      <a:rPr lang="en-US" baseline="0"/>
                      <a:t>, </a:t>
                    </a:r>
                    <a:fld id="{297DB69A-F206-44FB-B537-CBDECD459E41}"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B7FA-4969-ADFE-197D0F625665}"/>
                </c:ext>
              </c:extLst>
            </c:dLbl>
            <c:dLbl>
              <c:idx val="33"/>
              <c:tx>
                <c:rich>
                  <a:bodyPr/>
                  <a:lstStyle/>
                  <a:p>
                    <a:fld id="{6248A800-F9F2-4908-B3E6-5C5D44F6D3F2}" type="CELLRANGE">
                      <a:rPr lang="en-US"/>
                      <a:pPr/>
                      <a:t>[CELLRANGE]</a:t>
                    </a:fld>
                    <a:r>
                      <a:rPr lang="en-US" baseline="0"/>
                      <a:t>, </a:t>
                    </a:r>
                    <a:fld id="{5F7B8A6A-D9E2-4BE6-96AD-36270F472CA1}" type="CATEGORYNAME">
                      <a:rPr lang="en-US" baseline="0"/>
                      <a:pPr/>
                      <a:t>[CATEGORY NAME]</a:t>
                    </a:fld>
                    <a:r>
                      <a:rPr lang="en-US" baseline="0"/>
                      <a:t>, </a:t>
                    </a:r>
                    <a:fld id="{3811020A-4845-439C-A5BB-E89570163945}"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B7FA-4969-ADFE-197D0F625665}"/>
                </c:ext>
              </c:extLst>
            </c:dLbl>
            <c:dLbl>
              <c:idx val="34"/>
              <c:tx>
                <c:rich>
                  <a:bodyPr/>
                  <a:lstStyle/>
                  <a:p>
                    <a:fld id="{1948C199-FE6E-40EE-8217-C3144B19AB8A}" type="CELLRANGE">
                      <a:rPr lang="en-US"/>
                      <a:pPr/>
                      <a:t>[CELLRANGE]</a:t>
                    </a:fld>
                    <a:r>
                      <a:rPr lang="en-US" baseline="0"/>
                      <a:t>, </a:t>
                    </a:r>
                    <a:fld id="{26CB6EB8-FA39-4057-AE4A-FBC5583E10D6}" type="CATEGORYNAME">
                      <a:rPr lang="en-US" baseline="0"/>
                      <a:pPr/>
                      <a:t>[CATEGORY NAME]</a:t>
                    </a:fld>
                    <a:r>
                      <a:rPr lang="en-US" baseline="0"/>
                      <a:t>, </a:t>
                    </a:r>
                    <a:fld id="{834B3953-9B36-4030-ABF8-2EB4888678D5}"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B7FA-4969-ADFE-197D0F625665}"/>
                </c:ext>
              </c:extLst>
            </c:dLbl>
            <c:dLbl>
              <c:idx val="35"/>
              <c:tx>
                <c:rich>
                  <a:bodyPr/>
                  <a:lstStyle/>
                  <a:p>
                    <a:fld id="{FA00169C-5182-4394-A1A0-3873370DEE1C}" type="CELLRANGE">
                      <a:rPr lang="en-US"/>
                      <a:pPr/>
                      <a:t>[CELLRANGE]</a:t>
                    </a:fld>
                    <a:r>
                      <a:rPr lang="en-US" baseline="0"/>
                      <a:t>, </a:t>
                    </a:r>
                    <a:fld id="{2EE0B554-C86E-4DA4-A9DB-B4B18E4BA1BE}" type="CATEGORYNAME">
                      <a:rPr lang="en-US" baseline="0"/>
                      <a:pPr/>
                      <a:t>[CATEGORY NAME]</a:t>
                    </a:fld>
                    <a:r>
                      <a:rPr lang="en-US" baseline="0"/>
                      <a:t>, </a:t>
                    </a:r>
                    <a:fld id="{91226546-9513-40FA-A8CD-C3619D418FD9}"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B7FA-4969-ADFE-197D0F625665}"/>
                </c:ext>
              </c:extLst>
            </c:dLbl>
            <c:dLbl>
              <c:idx val="36"/>
              <c:tx>
                <c:rich>
                  <a:bodyPr/>
                  <a:lstStyle/>
                  <a:p>
                    <a:fld id="{7618B33D-773A-4DBB-A336-8D9FF0F326B6}" type="CELLRANGE">
                      <a:rPr lang="en-US"/>
                      <a:pPr/>
                      <a:t>[CELLRANGE]</a:t>
                    </a:fld>
                    <a:r>
                      <a:rPr lang="en-US" baseline="0"/>
                      <a:t>, </a:t>
                    </a:r>
                    <a:fld id="{46ADF90E-EF0D-4B93-95E5-1F75F0E59C66}" type="CATEGORYNAME">
                      <a:rPr lang="en-US" baseline="0"/>
                      <a:pPr/>
                      <a:t>[CATEGORY NAME]</a:t>
                    </a:fld>
                    <a:r>
                      <a:rPr lang="en-US" baseline="0"/>
                      <a:t>, </a:t>
                    </a:r>
                    <a:fld id="{4CCA2ED0-672C-46E5-8ABE-D2EA64C91F7B}"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B7FA-4969-ADFE-197D0F625665}"/>
                </c:ext>
              </c:extLst>
            </c:dLbl>
            <c:dLbl>
              <c:idx val="37"/>
              <c:tx>
                <c:rich>
                  <a:bodyPr/>
                  <a:lstStyle/>
                  <a:p>
                    <a:fld id="{7AE4481D-B1A2-4171-809E-81E50F3CDB83}" type="CELLRANGE">
                      <a:rPr lang="en-US"/>
                      <a:pPr/>
                      <a:t>[CELLRANGE]</a:t>
                    </a:fld>
                    <a:r>
                      <a:rPr lang="en-US" baseline="0"/>
                      <a:t>, </a:t>
                    </a:r>
                    <a:fld id="{EF6ACE8D-16FE-46F7-A07C-58B85150E303}" type="CATEGORYNAME">
                      <a:rPr lang="en-US" baseline="0"/>
                      <a:pPr/>
                      <a:t>[CATEGORY NAME]</a:t>
                    </a:fld>
                    <a:r>
                      <a:rPr lang="en-US" baseline="0"/>
                      <a:t>, </a:t>
                    </a:r>
                    <a:fld id="{BC9FB841-D2D5-477A-8449-DFD1ADE178A7}"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B7FA-4969-ADFE-197D0F625665}"/>
                </c:ext>
              </c:extLst>
            </c:dLbl>
            <c:dLbl>
              <c:idx val="38"/>
              <c:tx>
                <c:rich>
                  <a:bodyPr/>
                  <a:lstStyle/>
                  <a:p>
                    <a:fld id="{94B5BA17-63D7-48DB-9215-ECD0C41F7C3F}" type="CELLRANGE">
                      <a:rPr lang="en-US"/>
                      <a:pPr/>
                      <a:t>[CELLRANGE]</a:t>
                    </a:fld>
                    <a:r>
                      <a:rPr lang="en-US" baseline="0"/>
                      <a:t>, </a:t>
                    </a:r>
                    <a:fld id="{47284096-FA8F-43EC-A565-43482587DFB1}" type="CATEGORYNAME">
                      <a:rPr lang="en-US" baseline="0"/>
                      <a:pPr/>
                      <a:t>[CATEGORY NAME]</a:t>
                    </a:fld>
                    <a:r>
                      <a:rPr lang="en-US" baseline="0"/>
                      <a:t>, </a:t>
                    </a:r>
                    <a:fld id="{B92AD1CE-57E7-49D3-80DF-3C52E25EE9D3}"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B7FA-4969-ADFE-197D0F625665}"/>
                </c:ext>
              </c:extLst>
            </c:dLbl>
            <c:dLbl>
              <c:idx val="39"/>
              <c:tx>
                <c:rich>
                  <a:bodyPr/>
                  <a:lstStyle/>
                  <a:p>
                    <a:fld id="{85701575-062E-4590-ADFD-B9924FD29918}" type="CELLRANGE">
                      <a:rPr lang="en-US"/>
                      <a:pPr/>
                      <a:t>[CELLRANGE]</a:t>
                    </a:fld>
                    <a:r>
                      <a:rPr lang="en-US" baseline="0"/>
                      <a:t>, </a:t>
                    </a:r>
                    <a:fld id="{DA3C0925-0E1A-45B8-84D8-AC2F06480DC3}" type="CATEGORYNAME">
                      <a:rPr lang="en-US" baseline="0"/>
                      <a:pPr/>
                      <a:t>[CATEGORY NAME]</a:t>
                    </a:fld>
                    <a:r>
                      <a:rPr lang="en-US" baseline="0"/>
                      <a:t>, </a:t>
                    </a:r>
                    <a:fld id="{5DDFF952-277B-43E9-8AB5-156ED66D2DF9}"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B7FA-4969-ADFE-197D0F625665}"/>
                </c:ext>
              </c:extLst>
            </c:dLbl>
            <c:dLbl>
              <c:idx val="40"/>
              <c:tx>
                <c:rich>
                  <a:bodyPr/>
                  <a:lstStyle/>
                  <a:p>
                    <a:fld id="{4DA5E770-42FB-4D1B-877F-8ED99D085BD1}" type="CELLRANGE">
                      <a:rPr lang="en-US"/>
                      <a:pPr/>
                      <a:t>[CELLRANGE]</a:t>
                    </a:fld>
                    <a:r>
                      <a:rPr lang="en-US" baseline="0"/>
                      <a:t>, </a:t>
                    </a:r>
                    <a:fld id="{18284C52-5628-462E-AF11-8C2B59A9B15D}" type="CATEGORYNAME">
                      <a:rPr lang="en-US" baseline="0"/>
                      <a:pPr/>
                      <a:t>[CATEGORY NAME]</a:t>
                    </a:fld>
                    <a:r>
                      <a:rPr lang="en-US" baseline="0"/>
                      <a:t>, </a:t>
                    </a:r>
                    <a:fld id="{A241E3F9-2DBD-4684-A5FD-17D5A8001AC8}"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B7FA-4969-ADFE-197D0F625665}"/>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1"/>
                <c15:leaderLines>
                  <c:spPr>
                    <a:ln w="9525">
                      <a:solidFill>
                        <a:schemeClr val="tx2">
                          <a:lumMod val="35000"/>
                          <a:lumOff val="65000"/>
                        </a:schemeClr>
                      </a:solidFill>
                    </a:ln>
                    <a:effectLst/>
                  </c:spPr>
                </c15:leaderLines>
              </c:ext>
            </c:extLst>
          </c:dLbls>
          <c:val>
            <c:numRef>
              <c:f>'Dynamic Data-RE'!$H$62:$H$102</c:f>
              <c:numCache>
                <c:formatCode>General</c:formatCode>
                <c:ptCount val="41"/>
                <c:pt idx="0">
                  <c:v>0.42099999999999999</c:v>
                </c:pt>
                <c:pt idx="1">
                  <c:v>0.27</c:v>
                </c:pt>
                <c:pt idx="2">
                  <c:v>-0.53</c:v>
                </c:pt>
                <c:pt idx="3">
                  <c:v>1.03</c:v>
                </c:pt>
                <c:pt idx="4">
                  <c:v>0.33599999999999997</c:v>
                </c:pt>
                <c:pt idx="5">
                  <c:v>0</c:v>
                </c:pt>
                <c:pt idx="6">
                  <c:v>0</c:v>
                </c:pt>
                <c:pt idx="7">
                  <c:v>0</c:v>
                </c:pt>
                <c:pt idx="8">
                  <c:v>0</c:v>
                </c:pt>
                <c:pt idx="9">
                  <c:v>1.095</c:v>
                </c:pt>
                <c:pt idx="10">
                  <c:v>0.30959999999999999</c:v>
                </c:pt>
                <c:pt idx="11">
                  <c:v>0.46129999999999999</c:v>
                </c:pt>
                <c:pt idx="12">
                  <c:v>-8.9999999999999993E-3</c:v>
                </c:pt>
                <c:pt idx="13">
                  <c:v>-0.11</c:v>
                </c:pt>
                <c:pt idx="14">
                  <c:v>0.79800000000000004</c:v>
                </c:pt>
                <c:pt idx="15">
                  <c:v>0.28999999999999998</c:v>
                </c:pt>
                <c:pt idx="16">
                  <c:v>0.16900000000000001</c:v>
                </c:pt>
                <c:pt idx="17">
                  <c:v>0.21779999999999999</c:v>
                </c:pt>
                <c:pt idx="18">
                  <c:v>-0.27</c:v>
                </c:pt>
                <c:pt idx="19">
                  <c:v>1.0900000000000001</c:v>
                </c:pt>
                <c:pt idx="20">
                  <c:v>0.22399999999999998</c:v>
                </c:pt>
                <c:pt idx="21">
                  <c:v>0</c:v>
                </c:pt>
                <c:pt idx="22">
                  <c:v>0</c:v>
                </c:pt>
                <c:pt idx="23">
                  <c:v>0</c:v>
                </c:pt>
                <c:pt idx="24">
                  <c:v>0</c:v>
                </c:pt>
                <c:pt idx="25">
                  <c:v>0.29199999999999998</c:v>
                </c:pt>
                <c:pt idx="26">
                  <c:v>0.121</c:v>
                </c:pt>
                <c:pt idx="27">
                  <c:v>0.28699999999999998</c:v>
                </c:pt>
                <c:pt idx="28">
                  <c:v>0.29139999999999999</c:v>
                </c:pt>
                <c:pt idx="29">
                  <c:v>-4.6600000000000003E-2</c:v>
                </c:pt>
                <c:pt idx="30">
                  <c:v>1</c:v>
                </c:pt>
                <c:pt idx="31">
                  <c:v>0.28000000000000003</c:v>
                </c:pt>
                <c:pt idx="32">
                  <c:v>3.5000000000000001E-3</c:v>
                </c:pt>
                <c:pt idx="33">
                  <c:v>0</c:v>
                </c:pt>
                <c:pt idx="34">
                  <c:v>-2.7E-2</c:v>
                </c:pt>
                <c:pt idx="35">
                  <c:v>1.0900000000000001</c:v>
                </c:pt>
                <c:pt idx="36">
                  <c:v>2.9999999999999992E-4</c:v>
                </c:pt>
                <c:pt idx="37">
                  <c:v>0</c:v>
                </c:pt>
                <c:pt idx="38">
                  <c:v>0</c:v>
                </c:pt>
                <c:pt idx="39">
                  <c:v>0</c:v>
                </c:pt>
                <c:pt idx="40">
                  <c:v>0</c:v>
                </c:pt>
              </c:numCache>
            </c:numRef>
          </c:val>
          <c:extLst>
            <c:ext xmlns:c15="http://schemas.microsoft.com/office/drawing/2012/chart" uri="{02D57815-91ED-43cb-92C2-25804820EDAC}">
              <c15:datalabelsRange>
                <c15:f>'Dynamic Data-RE'!$C$62:$C$102</c15:f>
                <c15:dlblRangeCache>
                  <c:ptCount val="41"/>
                  <c:pt idx="0">
                    <c:v>V=15%</c:v>
                  </c:pt>
                  <c:pt idx="1">
                    <c:v>V=15%</c:v>
                  </c:pt>
                  <c:pt idx="2">
                    <c:v>V=15%</c:v>
                  </c:pt>
                  <c:pt idx="3">
                    <c:v>V=15%</c:v>
                  </c:pt>
                  <c:pt idx="4">
                    <c:v>V=15%</c:v>
                  </c:pt>
                  <c:pt idx="5">
                    <c:v>V=15%</c:v>
                  </c:pt>
                  <c:pt idx="6">
                    <c:v>V=15%</c:v>
                  </c:pt>
                  <c:pt idx="7">
                    <c:v>V=15%</c:v>
                  </c:pt>
                  <c:pt idx="8">
                    <c:v>V=15%</c:v>
                  </c:pt>
                  <c:pt idx="9">
                    <c:v>V=15%</c:v>
                  </c:pt>
                  <c:pt idx="10">
                    <c:v>V=15%</c:v>
                  </c:pt>
                  <c:pt idx="11">
                    <c:v>V=15%</c:v>
                  </c:pt>
                  <c:pt idx="12">
                    <c:v>V=50%</c:v>
                  </c:pt>
                  <c:pt idx="13">
                    <c:v>V=50%</c:v>
                  </c:pt>
                  <c:pt idx="14">
                    <c:v>V=50%</c:v>
                  </c:pt>
                  <c:pt idx="15">
                    <c:v>V=50%</c:v>
                  </c:pt>
                  <c:pt idx="16">
                    <c:v>V=50%</c:v>
                  </c:pt>
                  <c:pt idx="17">
                    <c:v>V=50%</c:v>
                  </c:pt>
                  <c:pt idx="18">
                    <c:v>V=50%</c:v>
                  </c:pt>
                  <c:pt idx="19">
                    <c:v>V=50%</c:v>
                  </c:pt>
                  <c:pt idx="20">
                    <c:v>V=50%</c:v>
                  </c:pt>
                  <c:pt idx="21">
                    <c:v>V=50%</c:v>
                  </c:pt>
                  <c:pt idx="22">
                    <c:v>V=50%</c:v>
                  </c:pt>
                  <c:pt idx="23">
                    <c:v>V=50%</c:v>
                  </c:pt>
                  <c:pt idx="24">
                    <c:v>V=50%</c:v>
                  </c:pt>
                  <c:pt idx="25">
                    <c:v>V=50%</c:v>
                  </c:pt>
                  <c:pt idx="26">
                    <c:v>V=50%</c:v>
                  </c:pt>
                  <c:pt idx="27">
                    <c:v>V=50%</c:v>
                  </c:pt>
                  <c:pt idx="28">
                    <c:v>V=85%</c:v>
                  </c:pt>
                  <c:pt idx="29">
                    <c:v>V=85%</c:v>
                  </c:pt>
                  <c:pt idx="30">
                    <c:v>V=85%</c:v>
                  </c:pt>
                  <c:pt idx="31">
                    <c:v>V=85%</c:v>
                  </c:pt>
                  <c:pt idx="32">
                    <c:v>V=85%</c:v>
                  </c:pt>
                  <c:pt idx="33">
                    <c:v>V=85%</c:v>
                  </c:pt>
                  <c:pt idx="34">
                    <c:v>V=85%</c:v>
                  </c:pt>
                  <c:pt idx="35">
                    <c:v>V=85%</c:v>
                  </c:pt>
                  <c:pt idx="36">
                    <c:v>V=85%</c:v>
                  </c:pt>
                  <c:pt idx="37">
                    <c:v>V=85%</c:v>
                  </c:pt>
                  <c:pt idx="38">
                    <c:v>V=85%</c:v>
                  </c:pt>
                  <c:pt idx="39">
                    <c:v>V=85%</c:v>
                  </c:pt>
                  <c:pt idx="40">
                    <c:v>V=85%</c:v>
                  </c:pt>
                </c15:dlblRangeCache>
              </c15:datalabelsRange>
            </c:ext>
            <c:ext xmlns:c16="http://schemas.microsoft.com/office/drawing/2014/chart" uri="{C3380CC4-5D6E-409C-BE32-E72D297353CC}">
              <c16:uniqueId val="{0000000D-B7C4-4AC0-9E5D-3E5B2B1EE472}"/>
            </c:ext>
          </c:extLst>
        </c:ser>
        <c:ser>
          <c:idx val="0"/>
          <c:order val="1"/>
          <c:tx>
            <c:v>Iq_Total_Upper_lim</c:v>
          </c:tx>
          <c:spPr>
            <a:ln w="31750" cap="rnd">
              <a:solidFill>
                <a:schemeClr val="accent1"/>
              </a:solidFill>
              <a:round/>
            </a:ln>
            <a:effectLst/>
          </c:spPr>
          <c:marker>
            <c:symbol val="none"/>
          </c:marker>
          <c:val>
            <c:numRef>
              <c:f>'Dynamic Data-RE'!$J$62:$J$102</c:f>
              <c:numCache>
                <c:formatCode>General</c:formatCode>
                <c:ptCount val="41"/>
                <c:pt idx="0">
                  <c:v>1</c:v>
                </c:pt>
                <c:pt idx="1">
                  <c:v>1</c:v>
                </c:pt>
                <c:pt idx="2">
                  <c:v>0</c:v>
                </c:pt>
                <c:pt idx="3">
                  <c:v>1</c:v>
                </c:pt>
                <c:pt idx="4">
                  <c:v>1</c:v>
                </c:pt>
                <c:pt idx="5">
                  <c:v>1</c:v>
                </c:pt>
                <c:pt idx="6">
                  <c:v>0</c:v>
                </c:pt>
                <c:pt idx="7">
                  <c:v>1</c:v>
                </c:pt>
                <c:pt idx="8">
                  <c:v>1</c:v>
                </c:pt>
                <c:pt idx="9">
                  <c:v>1</c:v>
                </c:pt>
                <c:pt idx="10">
                  <c:v>0</c:v>
                </c:pt>
                <c:pt idx="11">
                  <c:v>1</c:v>
                </c:pt>
                <c:pt idx="12">
                  <c:v>1</c:v>
                </c:pt>
                <c:pt idx="13">
                  <c:v>0</c:v>
                </c:pt>
                <c:pt idx="14">
                  <c:v>1</c:v>
                </c:pt>
                <c:pt idx="15">
                  <c:v>1</c:v>
                </c:pt>
                <c:pt idx="16">
                  <c:v>1</c:v>
                </c:pt>
                <c:pt idx="17">
                  <c:v>1</c:v>
                </c:pt>
                <c:pt idx="18">
                  <c:v>0</c:v>
                </c:pt>
                <c:pt idx="19">
                  <c:v>1</c:v>
                </c:pt>
                <c:pt idx="20">
                  <c:v>1</c:v>
                </c:pt>
                <c:pt idx="21">
                  <c:v>1</c:v>
                </c:pt>
                <c:pt idx="22">
                  <c:v>0</c:v>
                </c:pt>
                <c:pt idx="23">
                  <c:v>1</c:v>
                </c:pt>
                <c:pt idx="24">
                  <c:v>1</c:v>
                </c:pt>
                <c:pt idx="25">
                  <c:v>1</c:v>
                </c:pt>
                <c:pt idx="26">
                  <c:v>0</c:v>
                </c:pt>
                <c:pt idx="27">
                  <c:v>1</c:v>
                </c:pt>
                <c:pt idx="28">
                  <c:v>1</c:v>
                </c:pt>
                <c:pt idx="29">
                  <c:v>0</c:v>
                </c:pt>
                <c:pt idx="30">
                  <c:v>1</c:v>
                </c:pt>
                <c:pt idx="31">
                  <c:v>1</c:v>
                </c:pt>
                <c:pt idx="32">
                  <c:v>1</c:v>
                </c:pt>
                <c:pt idx="33">
                  <c:v>1</c:v>
                </c:pt>
                <c:pt idx="34">
                  <c:v>0</c:v>
                </c:pt>
                <c:pt idx="35">
                  <c:v>1</c:v>
                </c:pt>
                <c:pt idx="36">
                  <c:v>1</c:v>
                </c:pt>
                <c:pt idx="37">
                  <c:v>1</c:v>
                </c:pt>
                <c:pt idx="38">
                  <c:v>0</c:v>
                </c:pt>
                <c:pt idx="39">
                  <c:v>1</c:v>
                </c:pt>
                <c:pt idx="40">
                  <c:v>1</c:v>
                </c:pt>
              </c:numCache>
            </c:numRef>
          </c:val>
          <c:extLst>
            <c:ext xmlns:c16="http://schemas.microsoft.com/office/drawing/2014/chart" uri="{C3380CC4-5D6E-409C-BE32-E72D297353CC}">
              <c16:uniqueId val="{0000001A-B7C4-4AC0-9E5D-3E5B2B1EE472}"/>
            </c:ext>
          </c:extLst>
        </c:ser>
        <c:dLbls>
          <c:showLegendKey val="0"/>
          <c:showVal val="0"/>
          <c:showCatName val="0"/>
          <c:showSerName val="0"/>
          <c:showPercent val="0"/>
          <c:showBubbleSize val="0"/>
        </c:dLbls>
        <c:axId val="567699680"/>
        <c:axId val="567700160"/>
      </c:radarChart>
      <c:catAx>
        <c:axId val="56769968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7700160"/>
        <c:crosses val="autoZero"/>
        <c:auto val="1"/>
        <c:lblAlgn val="ctr"/>
        <c:lblOffset val="100"/>
        <c:noMultiLvlLbl val="0"/>
      </c:catAx>
      <c:valAx>
        <c:axId val="56770016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76996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baseline="0">
                <a:solidFill>
                  <a:schemeClr val="tx2"/>
                </a:solidFill>
                <a:latin typeface="+mn-lt"/>
                <a:ea typeface="+mn-ea"/>
                <a:cs typeface="+mn-cs"/>
              </a:defRPr>
            </a:pPr>
            <a:r>
              <a:rPr lang="en-IN" sz="2400"/>
              <a:t>HVRT_Iq_Total_3PH</a:t>
            </a:r>
          </a:p>
          <a:p>
            <a:pPr>
              <a:defRPr sz="2400"/>
            </a:pPr>
            <a:r>
              <a:rPr lang="en-IN" sz="2400"/>
              <a:t>INV/WTG/PCS/SVG</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2"/>
              </a:solidFill>
              <a:latin typeface="+mn-lt"/>
              <a:ea typeface="+mn-ea"/>
              <a:cs typeface="+mn-cs"/>
            </a:defRPr>
          </a:pPr>
          <a:endParaRPr lang="en-US"/>
        </a:p>
      </c:txPr>
    </c:title>
    <c:autoTitleDeleted val="0"/>
    <c:plotArea>
      <c:layout/>
      <c:radarChart>
        <c:radarStyle val="marker"/>
        <c:varyColors val="0"/>
        <c:ser>
          <c:idx val="0"/>
          <c:order val="0"/>
          <c:tx>
            <c:v>Iq_Total_PSSE</c:v>
          </c:tx>
          <c:spPr>
            <a:ln w="31750" cap="rnd">
              <a:solidFill>
                <a:schemeClr val="accent1"/>
              </a:solidFill>
              <a:round/>
            </a:ln>
            <a:effectLst/>
          </c:spPr>
          <c:marker>
            <c:symbol val="none"/>
          </c:marker>
          <c:dLbls>
            <c:dLbl>
              <c:idx val="0"/>
              <c:tx>
                <c:rich>
                  <a:bodyPr/>
                  <a:lstStyle/>
                  <a:p>
                    <a:fld id="{7888B48A-B5DA-4278-BA75-F7459443DE69}" type="CELLRANGE">
                      <a:rPr lang="en-IN"/>
                      <a:pPr/>
                      <a:t>[CELLRANGE]</a:t>
                    </a:fld>
                    <a:r>
                      <a:rPr lang="en-IN" baseline="0"/>
                      <a:t>, </a:t>
                    </a:r>
                    <a:fld id="{8DDBD88B-2C14-4B24-92E2-ACC23C67843F}" type="CATEGORYNAME">
                      <a:rPr lang="en-IN" baseline="0"/>
                      <a:pPr/>
                      <a:t>[CATEGORY NAME]</a:t>
                    </a:fld>
                    <a:r>
                      <a:rPr lang="en-IN" baseline="0"/>
                      <a:t>, </a:t>
                    </a:r>
                    <a:fld id="{F6AC965D-EAB4-4730-B2D3-194E4F2568B1}"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295-4AC6-BC80-3C298DE3F19D}"/>
                </c:ext>
              </c:extLst>
            </c:dLbl>
            <c:dLbl>
              <c:idx val="1"/>
              <c:tx>
                <c:rich>
                  <a:bodyPr/>
                  <a:lstStyle/>
                  <a:p>
                    <a:fld id="{A3F51262-1022-45BD-80A5-F9714068366A}" type="CELLRANGE">
                      <a:rPr lang="en-IN"/>
                      <a:pPr/>
                      <a:t>[CELLRANGE]</a:t>
                    </a:fld>
                    <a:r>
                      <a:rPr lang="en-IN" baseline="0"/>
                      <a:t>, </a:t>
                    </a:r>
                    <a:fld id="{544EDAC0-9DB4-4A56-9226-DE521D813068}" type="CATEGORYNAME">
                      <a:rPr lang="en-IN" baseline="0"/>
                      <a:pPr/>
                      <a:t>[CATEGORY NAME]</a:t>
                    </a:fld>
                    <a:r>
                      <a:rPr lang="en-IN" baseline="0"/>
                      <a:t>, </a:t>
                    </a:r>
                    <a:fld id="{17418574-4A48-47A5-8DF2-3346FAD90037}"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295-4AC6-BC80-3C298DE3F19D}"/>
                </c:ext>
              </c:extLst>
            </c:dLbl>
            <c:dLbl>
              <c:idx val="2"/>
              <c:tx>
                <c:rich>
                  <a:bodyPr/>
                  <a:lstStyle/>
                  <a:p>
                    <a:fld id="{DE833A04-F00D-49C9-9296-178068A7F545}" type="CELLRANGE">
                      <a:rPr lang="en-IN"/>
                      <a:pPr/>
                      <a:t>[CELLRANGE]</a:t>
                    </a:fld>
                    <a:r>
                      <a:rPr lang="en-IN" baseline="0"/>
                      <a:t>, </a:t>
                    </a:r>
                    <a:fld id="{20AC3265-9E56-49C9-9997-6F8903A26812}" type="CATEGORYNAME">
                      <a:rPr lang="en-IN" baseline="0"/>
                      <a:pPr/>
                      <a:t>[CATEGORY NAME]</a:t>
                    </a:fld>
                    <a:r>
                      <a:rPr lang="en-IN" baseline="0"/>
                      <a:t>, </a:t>
                    </a:r>
                    <a:fld id="{D6CED475-2C0A-4268-8EE5-88C39BAF545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295-4AC6-BC80-3C298DE3F19D}"/>
                </c:ext>
              </c:extLst>
            </c:dLbl>
            <c:dLbl>
              <c:idx val="3"/>
              <c:tx>
                <c:rich>
                  <a:bodyPr/>
                  <a:lstStyle/>
                  <a:p>
                    <a:fld id="{ADC5DB83-2677-4BDE-9D1E-6962AC8B9DBA}" type="CELLRANGE">
                      <a:rPr lang="en-IN"/>
                      <a:pPr/>
                      <a:t>[CELLRANGE]</a:t>
                    </a:fld>
                    <a:r>
                      <a:rPr lang="en-IN" baseline="0"/>
                      <a:t>, </a:t>
                    </a:r>
                    <a:fld id="{5B3D5D51-6BF9-4BC1-8341-1C3A16953B02}" type="CATEGORYNAME">
                      <a:rPr lang="en-IN" baseline="0"/>
                      <a:pPr/>
                      <a:t>[CATEGORY NAME]</a:t>
                    </a:fld>
                    <a:r>
                      <a:rPr lang="en-IN" baseline="0"/>
                      <a:t>, </a:t>
                    </a:r>
                    <a:fld id="{DD62B44A-52BA-43AD-ACD0-248042A6673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295-4AC6-BC80-3C298DE3F19D}"/>
                </c:ext>
              </c:extLst>
            </c:dLbl>
            <c:dLbl>
              <c:idx val="4"/>
              <c:tx>
                <c:rich>
                  <a:bodyPr/>
                  <a:lstStyle/>
                  <a:p>
                    <a:fld id="{4850E376-8979-4B4D-8868-66358F16DC92}" type="CELLRANGE">
                      <a:rPr lang="en-IN"/>
                      <a:pPr/>
                      <a:t>[CELLRANGE]</a:t>
                    </a:fld>
                    <a:r>
                      <a:rPr lang="en-IN" baseline="0"/>
                      <a:t>, </a:t>
                    </a:r>
                    <a:fld id="{FFA94502-82FE-4127-881C-C5EF3ABB40EE}" type="CATEGORYNAME">
                      <a:rPr lang="en-IN" baseline="0"/>
                      <a:pPr/>
                      <a:t>[CATEGORY NAME]</a:t>
                    </a:fld>
                    <a:r>
                      <a:rPr lang="en-IN" baseline="0"/>
                      <a:t>, </a:t>
                    </a:r>
                    <a:fld id="{191B28C7-C524-4323-A59A-1AD9CB7D5068}"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295-4AC6-BC80-3C298DE3F19D}"/>
                </c:ext>
              </c:extLst>
            </c:dLbl>
            <c:dLbl>
              <c:idx val="5"/>
              <c:tx>
                <c:rich>
                  <a:bodyPr/>
                  <a:lstStyle/>
                  <a:p>
                    <a:fld id="{D47B02E2-EF35-47DF-96C6-376B11739C4A}" type="CELLRANGE">
                      <a:rPr lang="en-IN"/>
                      <a:pPr/>
                      <a:t>[CELLRANGE]</a:t>
                    </a:fld>
                    <a:r>
                      <a:rPr lang="en-IN" baseline="0"/>
                      <a:t>, </a:t>
                    </a:r>
                    <a:fld id="{CE32DE2A-994A-4250-A49A-C826C35B5AAC}" type="CATEGORYNAME">
                      <a:rPr lang="en-IN" baseline="0"/>
                      <a:pPr/>
                      <a:t>[CATEGORY NAME]</a:t>
                    </a:fld>
                    <a:r>
                      <a:rPr lang="en-IN" baseline="0"/>
                      <a:t>, </a:t>
                    </a:r>
                    <a:fld id="{92BBDBEC-236A-4015-A408-E8A7C981831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295-4AC6-BC80-3C298DE3F19D}"/>
                </c:ext>
              </c:extLst>
            </c:dLbl>
            <c:dLbl>
              <c:idx val="6"/>
              <c:tx>
                <c:rich>
                  <a:bodyPr/>
                  <a:lstStyle/>
                  <a:p>
                    <a:fld id="{E59A2465-59F2-4883-B418-FB27DAAF0876}" type="CELLRANGE">
                      <a:rPr lang="en-IN"/>
                      <a:pPr/>
                      <a:t>[CELLRANGE]</a:t>
                    </a:fld>
                    <a:r>
                      <a:rPr lang="en-IN" baseline="0"/>
                      <a:t>, </a:t>
                    </a:r>
                    <a:fld id="{20CEF85A-068F-4A52-B217-480E191BCFF2}" type="CATEGORYNAME">
                      <a:rPr lang="en-IN" baseline="0"/>
                      <a:pPr/>
                      <a:t>[CATEGORY NAME]</a:t>
                    </a:fld>
                    <a:r>
                      <a:rPr lang="en-IN" baseline="0"/>
                      <a:t>, </a:t>
                    </a:r>
                    <a:fld id="{4CC0EEF3-F39F-4F9A-B2A2-B296A868DB3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295-4AC6-BC80-3C298DE3F19D}"/>
                </c:ext>
              </c:extLst>
            </c:dLbl>
            <c:dLbl>
              <c:idx val="7"/>
              <c:tx>
                <c:rich>
                  <a:bodyPr/>
                  <a:lstStyle/>
                  <a:p>
                    <a:fld id="{E1AAB935-AEBA-4620-B3E1-CCECD98B5673}" type="CELLRANGE">
                      <a:rPr lang="en-IN"/>
                      <a:pPr/>
                      <a:t>[CELLRANGE]</a:t>
                    </a:fld>
                    <a:r>
                      <a:rPr lang="en-IN" baseline="0"/>
                      <a:t>, </a:t>
                    </a:r>
                    <a:fld id="{AB63A735-4958-4278-8424-ECA2AF1BE8AB}" type="CATEGORYNAME">
                      <a:rPr lang="en-IN" baseline="0"/>
                      <a:pPr/>
                      <a:t>[CATEGORY NAME]</a:t>
                    </a:fld>
                    <a:r>
                      <a:rPr lang="en-IN" baseline="0"/>
                      <a:t>, </a:t>
                    </a:r>
                    <a:fld id="{7E9A99CD-EBFF-4853-9C0E-ACB2651477D8}"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295-4AC6-BC80-3C298DE3F19D}"/>
                </c:ext>
              </c:extLst>
            </c:dLbl>
            <c:dLbl>
              <c:idx val="8"/>
              <c:tx>
                <c:rich>
                  <a:bodyPr/>
                  <a:lstStyle/>
                  <a:p>
                    <a:fld id="{4AF80806-071A-4B1B-8E7A-3A73809460A3}" type="CELLRANGE">
                      <a:rPr lang="en-IN"/>
                      <a:pPr/>
                      <a:t>[CELLRANGE]</a:t>
                    </a:fld>
                    <a:r>
                      <a:rPr lang="en-IN" baseline="0"/>
                      <a:t>, </a:t>
                    </a:r>
                    <a:fld id="{560247B7-C98C-4FE1-B8BB-5B85FFB88E43}" type="CATEGORYNAME">
                      <a:rPr lang="en-IN" baseline="0"/>
                      <a:pPr/>
                      <a:t>[CATEGORY NAME]</a:t>
                    </a:fld>
                    <a:r>
                      <a:rPr lang="en-IN" baseline="0"/>
                      <a:t>, </a:t>
                    </a:r>
                    <a:fld id="{B3F9B76B-56A8-493E-993C-74A0DB1F0D5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295-4AC6-BC80-3C298DE3F19D}"/>
                </c:ext>
              </c:extLst>
            </c:dLbl>
            <c:dLbl>
              <c:idx val="9"/>
              <c:tx>
                <c:rich>
                  <a:bodyPr/>
                  <a:lstStyle/>
                  <a:p>
                    <a:fld id="{17AE7FCE-32FC-4BDE-95E6-7D2BBB2B0C43}" type="CELLRANGE">
                      <a:rPr lang="en-IN"/>
                      <a:pPr/>
                      <a:t>[CELLRANGE]</a:t>
                    </a:fld>
                    <a:r>
                      <a:rPr lang="en-IN" baseline="0"/>
                      <a:t>, </a:t>
                    </a:r>
                    <a:fld id="{0BE0F52B-372F-49E3-B909-5A859D9D8EDC}" type="CATEGORYNAME">
                      <a:rPr lang="en-IN" baseline="0"/>
                      <a:pPr/>
                      <a:t>[CATEGORY NAME]</a:t>
                    </a:fld>
                    <a:r>
                      <a:rPr lang="en-IN" baseline="0"/>
                      <a:t>, </a:t>
                    </a:r>
                    <a:fld id="{34B17147-E392-40A3-A34B-314B72C8E2F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295-4AC6-BC80-3C298DE3F19D}"/>
                </c:ext>
              </c:extLst>
            </c:dLbl>
            <c:dLbl>
              <c:idx val="10"/>
              <c:tx>
                <c:rich>
                  <a:bodyPr/>
                  <a:lstStyle/>
                  <a:p>
                    <a:fld id="{C76F7414-451A-41F6-BDF7-196AC6BA2F37}" type="CELLRANGE">
                      <a:rPr lang="en-IN"/>
                      <a:pPr/>
                      <a:t>[CELLRANGE]</a:t>
                    </a:fld>
                    <a:r>
                      <a:rPr lang="en-IN" baseline="0"/>
                      <a:t>, </a:t>
                    </a:r>
                    <a:fld id="{5EFFCD95-65CB-467F-B39A-54B0FD1FA19B}" type="CATEGORYNAME">
                      <a:rPr lang="en-IN" baseline="0"/>
                      <a:pPr/>
                      <a:t>[CATEGORY NAME]</a:t>
                    </a:fld>
                    <a:r>
                      <a:rPr lang="en-IN" baseline="0"/>
                      <a:t>, </a:t>
                    </a:r>
                    <a:fld id="{B5A514F6-E9D5-4A87-ACE0-3A6B3EE64C3A}"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20F2-40C7-9D21-B170D433479A}"/>
                </c:ext>
              </c:extLst>
            </c:dLbl>
            <c:dLbl>
              <c:idx val="11"/>
              <c:tx>
                <c:rich>
                  <a:bodyPr/>
                  <a:lstStyle/>
                  <a:p>
                    <a:fld id="{29CBA6B8-49F8-4E94-B6E3-07B4AF29E020}" type="CELLRANGE">
                      <a:rPr lang="en-IN"/>
                      <a:pPr/>
                      <a:t>[CELLRANGE]</a:t>
                    </a:fld>
                    <a:r>
                      <a:rPr lang="en-IN" baseline="0"/>
                      <a:t>, </a:t>
                    </a:r>
                    <a:fld id="{7A40B65C-9E4D-4D33-AF46-03BD95510D2D}" type="CATEGORYNAME">
                      <a:rPr lang="en-IN" baseline="0"/>
                      <a:pPr/>
                      <a:t>[CATEGORY NAME]</a:t>
                    </a:fld>
                    <a:r>
                      <a:rPr lang="en-IN" baseline="0"/>
                      <a:t>, </a:t>
                    </a:r>
                    <a:fld id="{C38F12D2-C742-4FCC-B342-2143F6A0185F}"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0F2-40C7-9D21-B170D433479A}"/>
                </c:ext>
              </c:extLst>
            </c:dLbl>
            <c:dLbl>
              <c:idx val="12"/>
              <c:tx>
                <c:rich>
                  <a:bodyPr/>
                  <a:lstStyle/>
                  <a:p>
                    <a:fld id="{B090CD55-51E3-40FD-BB70-2B911ECB15AD}" type="CELLRANGE">
                      <a:rPr lang="en-IN"/>
                      <a:pPr/>
                      <a:t>[CELLRANGE]</a:t>
                    </a:fld>
                    <a:r>
                      <a:rPr lang="en-IN" baseline="0"/>
                      <a:t>, </a:t>
                    </a:r>
                    <a:fld id="{0F473F19-AC9A-4B18-A415-EB5FB867EF67}" type="CATEGORYNAME">
                      <a:rPr lang="en-IN" baseline="0"/>
                      <a:pPr/>
                      <a:t>[CATEGORY NAME]</a:t>
                    </a:fld>
                    <a:r>
                      <a:rPr lang="en-IN" baseline="0"/>
                      <a:t>, </a:t>
                    </a:r>
                    <a:fld id="{EF253840-18D9-4D62-89ED-D0A1678489A1}"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62C5-4B60-80CD-EE475241B6EF}"/>
                </c:ext>
              </c:extLst>
            </c:dLbl>
            <c:dLbl>
              <c:idx val="13"/>
              <c:tx>
                <c:rich>
                  <a:bodyPr/>
                  <a:lstStyle/>
                  <a:p>
                    <a:fld id="{FE30F67A-C735-4A05-9F6D-6D7161FCD5B7}" type="CELLRANGE">
                      <a:rPr lang="en-IN"/>
                      <a:pPr/>
                      <a:t>[CELLRANGE]</a:t>
                    </a:fld>
                    <a:r>
                      <a:rPr lang="en-IN" baseline="0"/>
                      <a:t>, </a:t>
                    </a:r>
                    <a:fld id="{9253F7D4-56BD-4816-AD8F-C51EA259E4CC}" type="CATEGORYNAME">
                      <a:rPr lang="en-IN" baseline="0"/>
                      <a:pPr/>
                      <a:t>[CATEGORY NAME]</a:t>
                    </a:fld>
                    <a:r>
                      <a:rPr lang="en-IN" baseline="0"/>
                      <a:t>, </a:t>
                    </a:r>
                    <a:fld id="{6006FBD9-336F-42E5-AFB9-92F5B4E9A69E}"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2C5-4B60-80CD-EE475241B6EF}"/>
                </c:ext>
              </c:extLst>
            </c:dLbl>
            <c:dLbl>
              <c:idx val="14"/>
              <c:tx>
                <c:rich>
                  <a:bodyPr/>
                  <a:lstStyle/>
                  <a:p>
                    <a:fld id="{C396CE70-2581-4C6B-BD07-149234A39BC1}" type="CELLRANGE">
                      <a:rPr lang="en-IN"/>
                      <a:pPr/>
                      <a:t>[CELLRANGE]</a:t>
                    </a:fld>
                    <a:r>
                      <a:rPr lang="en-IN" baseline="0"/>
                      <a:t>, </a:t>
                    </a:r>
                    <a:fld id="{AFA77E08-AEFF-4EAA-875A-1002832214BB}" type="CATEGORYNAME">
                      <a:rPr lang="en-IN" baseline="0"/>
                      <a:pPr/>
                      <a:t>[CATEGORY NAME]</a:t>
                    </a:fld>
                    <a:r>
                      <a:rPr lang="en-IN" baseline="0"/>
                      <a:t>, </a:t>
                    </a:r>
                    <a:fld id="{69523536-8BA8-4BD3-A3F9-39F99AF9C49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2C5-4B60-80CD-EE475241B6EF}"/>
                </c:ext>
              </c:extLst>
            </c:dLbl>
            <c:dLbl>
              <c:idx val="15"/>
              <c:tx>
                <c:rich>
                  <a:bodyPr/>
                  <a:lstStyle/>
                  <a:p>
                    <a:fld id="{0072F43E-DDA4-49CE-8F46-455CD5B14669}" type="CELLRANGE">
                      <a:rPr lang="en-IN"/>
                      <a:pPr/>
                      <a:t>[CELLRANGE]</a:t>
                    </a:fld>
                    <a:r>
                      <a:rPr lang="en-IN" baseline="0"/>
                      <a:t>, </a:t>
                    </a:r>
                    <a:fld id="{855E9F17-C939-4FD0-8EAC-A2B570957DD4}" type="CATEGORYNAME">
                      <a:rPr lang="en-IN" baseline="0"/>
                      <a:pPr/>
                      <a:t>[CATEGORY NAME]</a:t>
                    </a:fld>
                    <a:r>
                      <a:rPr lang="en-IN" baseline="0"/>
                      <a:t>, </a:t>
                    </a:r>
                    <a:fld id="{3E748CD4-F0A5-4EC1-9E76-B60B8447CB9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2C5-4B60-80CD-EE475241B6EF}"/>
                </c:ext>
              </c:extLst>
            </c:dLbl>
            <c:dLbl>
              <c:idx val="16"/>
              <c:tx>
                <c:rich>
                  <a:bodyPr/>
                  <a:lstStyle/>
                  <a:p>
                    <a:fld id="{E0CF8E93-5B88-4CC0-8D0D-5AEEF1A0124E}" type="CELLRANGE">
                      <a:rPr lang="en-IN"/>
                      <a:pPr/>
                      <a:t>[CELLRANGE]</a:t>
                    </a:fld>
                    <a:r>
                      <a:rPr lang="en-IN" baseline="0"/>
                      <a:t>, </a:t>
                    </a:r>
                    <a:fld id="{3CB190DB-49F8-4DE9-B7F7-120D66085C10}" type="CATEGORYNAME">
                      <a:rPr lang="en-IN" baseline="0"/>
                      <a:pPr/>
                      <a:t>[CATEGORY NAME]</a:t>
                    </a:fld>
                    <a:r>
                      <a:rPr lang="en-IN" baseline="0"/>
                      <a:t>, </a:t>
                    </a:r>
                    <a:fld id="{CAEA09B2-B58C-4D41-A785-903BA6C6B004}"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2C5-4B60-80CD-EE475241B6EF}"/>
                </c:ext>
              </c:extLst>
            </c:dLbl>
            <c:dLbl>
              <c:idx val="17"/>
              <c:tx>
                <c:rich>
                  <a:bodyPr/>
                  <a:lstStyle/>
                  <a:p>
                    <a:fld id="{97EF2816-827B-48BF-805A-8FF408AB431D}" type="CELLRANGE">
                      <a:rPr lang="en-IN"/>
                      <a:pPr/>
                      <a:t>[CELLRANGE]</a:t>
                    </a:fld>
                    <a:r>
                      <a:rPr lang="en-IN" baseline="0"/>
                      <a:t>, </a:t>
                    </a:r>
                    <a:fld id="{59DB1895-627F-4D12-A999-91520B964C39}" type="CATEGORYNAME">
                      <a:rPr lang="en-IN" baseline="0"/>
                      <a:pPr/>
                      <a:t>[CATEGORY NAME]</a:t>
                    </a:fld>
                    <a:r>
                      <a:rPr lang="en-IN" baseline="0"/>
                      <a:t>, </a:t>
                    </a:r>
                    <a:fld id="{52C4CCAB-9D3F-4D8E-BF9F-156A64F4F811}"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2C5-4B60-80CD-EE475241B6EF}"/>
                </c:ext>
              </c:extLst>
            </c:dLbl>
            <c:dLbl>
              <c:idx val="18"/>
              <c:tx>
                <c:rich>
                  <a:bodyPr/>
                  <a:lstStyle/>
                  <a:p>
                    <a:fld id="{6BF8371C-DA19-4F7B-99DE-1FD64C029F28}" type="CELLRANGE">
                      <a:rPr lang="en-IN"/>
                      <a:pPr/>
                      <a:t>[CELLRANGE]</a:t>
                    </a:fld>
                    <a:r>
                      <a:rPr lang="en-IN" baseline="0"/>
                      <a:t>, </a:t>
                    </a:r>
                    <a:fld id="{DAFAE487-9419-4DD0-8C39-C4BFE89C6137}" type="CATEGORYNAME">
                      <a:rPr lang="en-IN" baseline="0"/>
                      <a:pPr/>
                      <a:t>[CATEGORY NAME]</a:t>
                    </a:fld>
                    <a:r>
                      <a:rPr lang="en-IN" baseline="0"/>
                      <a:t>, </a:t>
                    </a:r>
                    <a:fld id="{16729BFB-DDF6-4017-93B8-1E1BC5957301}"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2C5-4B60-80CD-EE475241B6EF}"/>
                </c:ext>
              </c:extLst>
            </c:dLbl>
            <c:dLbl>
              <c:idx val="19"/>
              <c:tx>
                <c:rich>
                  <a:bodyPr/>
                  <a:lstStyle/>
                  <a:p>
                    <a:fld id="{D1024DD7-0040-4FAF-BB23-9AC49E9EFA23}" type="CELLRANGE">
                      <a:rPr lang="en-IN"/>
                      <a:pPr/>
                      <a:t>[CELLRANGE]</a:t>
                    </a:fld>
                    <a:r>
                      <a:rPr lang="en-IN" baseline="0"/>
                      <a:t>, </a:t>
                    </a:r>
                    <a:fld id="{9F888AF1-0C0E-4F34-A7BA-DDDC818EBB82}" type="CATEGORYNAME">
                      <a:rPr lang="en-IN" baseline="0"/>
                      <a:pPr/>
                      <a:t>[CATEGORY NAME]</a:t>
                    </a:fld>
                    <a:r>
                      <a:rPr lang="en-IN" baseline="0"/>
                      <a:t>, </a:t>
                    </a:r>
                    <a:fld id="{28E0A28A-A6EE-43B8-A4B1-277289796E6A}"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2C5-4B60-80CD-EE475241B6EF}"/>
                </c:ext>
              </c:extLst>
            </c:dLbl>
            <c:dLbl>
              <c:idx val="20"/>
              <c:tx>
                <c:rich>
                  <a:bodyPr/>
                  <a:lstStyle/>
                  <a:p>
                    <a:fld id="{C0229E52-4359-40E2-BA50-1338516613A1}" type="CELLRANGE">
                      <a:rPr lang="en-IN"/>
                      <a:pPr/>
                      <a:t>[CELLRANGE]</a:t>
                    </a:fld>
                    <a:r>
                      <a:rPr lang="en-IN" baseline="0"/>
                      <a:t>, </a:t>
                    </a:r>
                    <a:fld id="{C42675D7-9BAB-49E5-A0E1-CFE2C6402096}" type="CATEGORYNAME">
                      <a:rPr lang="en-IN" baseline="0"/>
                      <a:pPr/>
                      <a:t>[CATEGORY NAME]</a:t>
                    </a:fld>
                    <a:r>
                      <a:rPr lang="en-IN" baseline="0"/>
                      <a:t>, </a:t>
                    </a:r>
                    <a:fld id="{B6F52A5E-04C7-42A5-ACEF-F338A397EAEE}"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2C5-4B60-80CD-EE475241B6EF}"/>
                </c:ext>
              </c:extLst>
            </c:dLbl>
            <c:dLbl>
              <c:idx val="21"/>
              <c:tx>
                <c:rich>
                  <a:bodyPr/>
                  <a:lstStyle/>
                  <a:p>
                    <a:fld id="{0AB9646C-7EA1-4A50-8AE2-228BDACC014F}" type="CELLRANGE">
                      <a:rPr lang="en-IN"/>
                      <a:pPr/>
                      <a:t>[CELLRANGE]</a:t>
                    </a:fld>
                    <a:r>
                      <a:rPr lang="en-IN" baseline="0"/>
                      <a:t>, </a:t>
                    </a:r>
                    <a:fld id="{7C685C8E-11F6-4B75-A970-13E6B0A75773}" type="CATEGORYNAME">
                      <a:rPr lang="en-IN" baseline="0"/>
                      <a:pPr/>
                      <a:t>[CATEGORY NAME]</a:t>
                    </a:fld>
                    <a:r>
                      <a:rPr lang="en-IN" baseline="0"/>
                      <a:t>, </a:t>
                    </a:r>
                    <a:fld id="{D3D2E9EC-1EBE-4DA4-B260-5DD53DB4A66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2C5-4B60-80CD-EE475241B6EF}"/>
                </c:ext>
              </c:extLst>
            </c:dLbl>
            <c:dLbl>
              <c:idx val="22"/>
              <c:tx>
                <c:rich>
                  <a:bodyPr/>
                  <a:lstStyle/>
                  <a:p>
                    <a:fld id="{2FBBEB2D-774F-451D-8E44-1DEAA6C55A5C}" type="CELLRANGE">
                      <a:rPr lang="en-IN"/>
                      <a:pPr/>
                      <a:t>[CELLRANGE]</a:t>
                    </a:fld>
                    <a:r>
                      <a:rPr lang="en-IN" baseline="0"/>
                      <a:t>, </a:t>
                    </a:r>
                    <a:fld id="{0CFEEE7E-ED42-452C-B917-FCC4F0971FC1}" type="CATEGORYNAME">
                      <a:rPr lang="en-IN" baseline="0"/>
                      <a:pPr/>
                      <a:t>[CATEGORY NAME]</a:t>
                    </a:fld>
                    <a:r>
                      <a:rPr lang="en-IN" baseline="0"/>
                      <a:t>, </a:t>
                    </a:r>
                    <a:fld id="{1F19990C-7652-45EE-8385-CFA6936538F2}"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2C5-4B60-80CD-EE475241B6EF}"/>
                </c:ext>
              </c:extLst>
            </c:dLbl>
            <c:dLbl>
              <c:idx val="23"/>
              <c:tx>
                <c:rich>
                  <a:bodyPr/>
                  <a:lstStyle/>
                  <a:p>
                    <a:fld id="{9EADD8C9-979B-415A-B68C-D0E76AEEFB3A}" type="CELLRANGE">
                      <a:rPr lang="en-IN"/>
                      <a:pPr/>
                      <a:t>[CELLRANGE]</a:t>
                    </a:fld>
                    <a:r>
                      <a:rPr lang="en-IN" baseline="0"/>
                      <a:t>, </a:t>
                    </a:r>
                    <a:fld id="{1BB30B97-C544-4B2C-8B21-7BBBB89A76A0}" type="CATEGORYNAME">
                      <a:rPr lang="en-IN" baseline="0"/>
                      <a:pPr/>
                      <a:t>[CATEGORY NAME]</a:t>
                    </a:fld>
                    <a:r>
                      <a:rPr lang="en-IN" baseline="0"/>
                      <a:t>, </a:t>
                    </a:r>
                    <a:fld id="{FFF9B05B-9552-430B-B6CB-9862B81C4ADE}"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2C5-4B60-80CD-EE475241B6EF}"/>
                </c:ext>
              </c:extLst>
            </c:dLbl>
            <c:dLbl>
              <c:idx val="24"/>
              <c:tx>
                <c:rich>
                  <a:bodyPr/>
                  <a:lstStyle/>
                  <a:p>
                    <a:fld id="{007D4D37-E7AF-41D2-BD93-B9C2CE7A2DAA}" type="CELLRANGE">
                      <a:rPr lang="en-IN"/>
                      <a:pPr/>
                      <a:t>[CELLRANGE]</a:t>
                    </a:fld>
                    <a:r>
                      <a:rPr lang="en-IN" baseline="0"/>
                      <a:t>, </a:t>
                    </a:r>
                    <a:fld id="{C147A9F9-79EE-48F6-92A2-09B2AD2BDC68}" type="CATEGORYNAME">
                      <a:rPr lang="en-IN" baseline="0"/>
                      <a:pPr/>
                      <a:t>[CATEGORY NAME]</a:t>
                    </a:fld>
                    <a:r>
                      <a:rPr lang="en-IN" baseline="0"/>
                      <a:t>, </a:t>
                    </a:r>
                    <a:fld id="{154F0F57-F237-402C-8177-024ECE0FDE1E}"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62C5-4B60-80CD-EE475241B6EF}"/>
                </c:ext>
              </c:extLst>
            </c:dLbl>
            <c:dLbl>
              <c:idx val="25"/>
              <c:tx>
                <c:rich>
                  <a:bodyPr/>
                  <a:lstStyle/>
                  <a:p>
                    <a:fld id="{63DE1E8E-9FA0-4DEA-A193-B4E68D899902}" type="CELLRANGE">
                      <a:rPr lang="en-IN"/>
                      <a:pPr/>
                      <a:t>[CELLRANGE]</a:t>
                    </a:fld>
                    <a:r>
                      <a:rPr lang="en-IN" baseline="0"/>
                      <a:t>, </a:t>
                    </a:r>
                    <a:fld id="{8822EA0D-6EAD-4A37-A9AB-FFAF71832DC3}" type="CATEGORYNAME">
                      <a:rPr lang="en-IN" baseline="0"/>
                      <a:pPr/>
                      <a:t>[CATEGORY NAME]</a:t>
                    </a:fld>
                    <a:r>
                      <a:rPr lang="en-IN" baseline="0"/>
                      <a:t>, </a:t>
                    </a:r>
                    <a:fld id="{10A087EF-822A-4E0B-9232-B4A76E1C59D8}"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62C5-4B60-80CD-EE475241B6EF}"/>
                </c:ext>
              </c:extLst>
            </c:dLbl>
            <c:dLbl>
              <c:idx val="26"/>
              <c:tx>
                <c:rich>
                  <a:bodyPr/>
                  <a:lstStyle/>
                  <a:p>
                    <a:fld id="{E7E3EDCD-EAA4-4A86-9F61-BEC22CE2142C}" type="CELLRANGE">
                      <a:rPr lang="en-IN"/>
                      <a:pPr/>
                      <a:t>[CELLRANGE]</a:t>
                    </a:fld>
                    <a:r>
                      <a:rPr lang="en-IN" baseline="0"/>
                      <a:t>, </a:t>
                    </a:r>
                    <a:fld id="{7FBEC157-7819-4573-A2B4-706F7A63A38A}" type="CATEGORYNAME">
                      <a:rPr lang="en-IN" baseline="0"/>
                      <a:pPr/>
                      <a:t>[CATEGORY NAME]</a:t>
                    </a:fld>
                    <a:r>
                      <a:rPr lang="en-IN" baseline="0"/>
                      <a:t>, </a:t>
                    </a:r>
                    <a:fld id="{8B7FE065-A256-4BA2-8FCA-70D01898BB7F}"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62C5-4B60-80CD-EE475241B6EF}"/>
                </c:ext>
              </c:extLst>
            </c:dLbl>
            <c:dLbl>
              <c:idx val="27"/>
              <c:tx>
                <c:rich>
                  <a:bodyPr/>
                  <a:lstStyle/>
                  <a:p>
                    <a:fld id="{1377269A-431A-4B69-BBAF-BFB8A2A8EE75}" type="CELLRANGE">
                      <a:rPr lang="en-IN"/>
                      <a:pPr/>
                      <a:t>[CELLRANGE]</a:t>
                    </a:fld>
                    <a:r>
                      <a:rPr lang="en-IN" baseline="0"/>
                      <a:t>, </a:t>
                    </a:r>
                    <a:fld id="{03DF0517-7CB0-4388-AC0E-A0779919C658}" type="CATEGORYNAME">
                      <a:rPr lang="en-IN" baseline="0"/>
                      <a:pPr/>
                      <a:t>[CATEGORY NAME]</a:t>
                    </a:fld>
                    <a:r>
                      <a:rPr lang="en-IN" baseline="0"/>
                      <a:t>, </a:t>
                    </a:r>
                    <a:fld id="{48F93F8E-20AC-48A4-9F9C-3B7C5E761853}"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62C5-4B60-80CD-EE475241B6EF}"/>
                </c:ext>
              </c:extLst>
            </c:dLbl>
            <c:dLbl>
              <c:idx val="28"/>
              <c:tx>
                <c:rich>
                  <a:bodyPr/>
                  <a:lstStyle/>
                  <a:p>
                    <a:fld id="{15EE1B85-624C-4EDE-BFE1-EF0E26E4ADF5}" type="CELLRANGE">
                      <a:rPr lang="en-IN"/>
                      <a:pPr/>
                      <a:t>[CELLRANGE]</a:t>
                    </a:fld>
                    <a:r>
                      <a:rPr lang="en-IN" baseline="0"/>
                      <a:t>, </a:t>
                    </a:r>
                    <a:fld id="{4EDD56DB-1817-42FE-915D-A04481F09DB0}" type="CATEGORYNAME">
                      <a:rPr lang="en-IN" baseline="0"/>
                      <a:pPr/>
                      <a:t>[CATEGORY NAME]</a:t>
                    </a:fld>
                    <a:r>
                      <a:rPr lang="en-IN" baseline="0"/>
                      <a:t>, </a:t>
                    </a:r>
                    <a:fld id="{E567D400-064B-47EE-B439-A16FEC2C1469}"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62C5-4B60-80CD-EE475241B6EF}"/>
                </c:ext>
              </c:extLst>
            </c:dLbl>
            <c:dLbl>
              <c:idx val="29"/>
              <c:tx>
                <c:rich>
                  <a:bodyPr/>
                  <a:lstStyle/>
                  <a:p>
                    <a:fld id="{25C5F5E1-79A2-4293-962C-B857FB5B6863}" type="CELLRANGE">
                      <a:rPr lang="en-IN"/>
                      <a:pPr/>
                      <a:t>[CELLRANGE]</a:t>
                    </a:fld>
                    <a:r>
                      <a:rPr lang="en-IN" baseline="0"/>
                      <a:t>, </a:t>
                    </a:r>
                    <a:fld id="{AB694378-E7C0-42F4-B086-626AF2F2A0AD}" type="CATEGORYNAME">
                      <a:rPr lang="en-IN" baseline="0"/>
                      <a:pPr/>
                      <a:t>[CATEGORY NAME]</a:t>
                    </a:fld>
                    <a:r>
                      <a:rPr lang="en-IN" baseline="0"/>
                      <a:t>, </a:t>
                    </a:r>
                    <a:fld id="{1CF4A847-A260-4791-8900-58F149922E5D}"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62C5-4B60-80CD-EE475241B6EF}"/>
                </c:ext>
              </c:extLst>
            </c:dLbl>
            <c:dLbl>
              <c:idx val="30"/>
              <c:tx>
                <c:rich>
                  <a:bodyPr/>
                  <a:lstStyle/>
                  <a:p>
                    <a:fld id="{22CDD522-4166-464F-9637-13EF45768F88}" type="CELLRANGE">
                      <a:rPr lang="en-IN"/>
                      <a:pPr/>
                      <a:t>[CELLRANGE]</a:t>
                    </a:fld>
                    <a:r>
                      <a:rPr lang="en-IN" baseline="0"/>
                      <a:t>, </a:t>
                    </a:r>
                    <a:fld id="{C1AD3AB5-792B-411F-A067-0DB1ACF637E3}" type="CATEGORYNAME">
                      <a:rPr lang="en-IN" baseline="0"/>
                      <a:pPr/>
                      <a:t>[CATEGORY NAME]</a:t>
                    </a:fld>
                    <a:r>
                      <a:rPr lang="en-IN" baseline="0"/>
                      <a:t>, </a:t>
                    </a:r>
                    <a:fld id="{20159D36-5492-48AF-8134-FC3CFFA93D5C}"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62C5-4B60-80CD-EE475241B6EF}"/>
                </c:ext>
              </c:extLst>
            </c:dLbl>
            <c:dLbl>
              <c:idx val="31"/>
              <c:tx>
                <c:rich>
                  <a:bodyPr/>
                  <a:lstStyle/>
                  <a:p>
                    <a:fld id="{D6DFF649-6AE5-4FAD-A5AA-4145BAE073FF}" type="CELLRANGE">
                      <a:rPr lang="en-IN"/>
                      <a:pPr/>
                      <a:t>[CELLRANGE]</a:t>
                    </a:fld>
                    <a:r>
                      <a:rPr lang="en-IN" baseline="0"/>
                      <a:t>, </a:t>
                    </a:r>
                    <a:fld id="{C8F6F074-29BC-4512-AD1D-F5417FFE3EB2}" type="CATEGORYNAME">
                      <a:rPr lang="en-IN" baseline="0"/>
                      <a:pPr/>
                      <a:t>[CATEGORY NAME]</a:t>
                    </a:fld>
                    <a:r>
                      <a:rPr lang="en-IN" baseline="0"/>
                      <a:t>, </a:t>
                    </a:r>
                    <a:fld id="{461416F0-891C-48EA-AA07-A761F8C0B7AC}"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62C5-4B60-80CD-EE475241B6EF}"/>
                </c:ext>
              </c:extLst>
            </c:dLbl>
            <c:dLbl>
              <c:idx val="32"/>
              <c:tx>
                <c:rich>
                  <a:bodyPr/>
                  <a:lstStyle/>
                  <a:p>
                    <a:fld id="{2B576154-08B8-4E4C-913C-4B80E54C3F9C}" type="CELLRANGE">
                      <a:rPr lang="en-IN"/>
                      <a:pPr/>
                      <a:t>[CELLRANGE]</a:t>
                    </a:fld>
                    <a:r>
                      <a:rPr lang="en-IN" baseline="0"/>
                      <a:t>, </a:t>
                    </a:r>
                    <a:fld id="{DB9578C2-6118-48A5-A663-24D4AEF4625C}" type="CATEGORYNAME">
                      <a:rPr lang="en-IN" baseline="0"/>
                      <a:pPr/>
                      <a:t>[CATEGORY NAME]</a:t>
                    </a:fld>
                    <a:r>
                      <a:rPr lang="en-IN" baseline="0"/>
                      <a:t>, </a:t>
                    </a:r>
                    <a:fld id="{E5B61A0E-2083-4BAB-87F5-C64C6FA786A5}"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62C5-4B60-80CD-EE475241B6EF}"/>
                </c:ext>
              </c:extLst>
            </c:dLbl>
            <c:dLbl>
              <c:idx val="33"/>
              <c:tx>
                <c:rich>
                  <a:bodyPr/>
                  <a:lstStyle/>
                  <a:p>
                    <a:fld id="{052124DA-C22F-4E74-96EB-643D03513E13}" type="CELLRANGE">
                      <a:rPr lang="en-IN"/>
                      <a:pPr/>
                      <a:t>[CELLRANGE]</a:t>
                    </a:fld>
                    <a:r>
                      <a:rPr lang="en-IN" baseline="0"/>
                      <a:t>, </a:t>
                    </a:r>
                    <a:fld id="{C3822491-73CB-4BA8-9C51-F0043CDC99C8}" type="CATEGORYNAME">
                      <a:rPr lang="en-IN" baseline="0"/>
                      <a:pPr/>
                      <a:t>[CATEGORY NAME]</a:t>
                    </a:fld>
                    <a:r>
                      <a:rPr lang="en-IN" baseline="0"/>
                      <a:t>, </a:t>
                    </a:r>
                    <a:fld id="{21B137E8-B3FE-4FDE-8EF9-A04357F95E50}" type="VALUE">
                      <a:rPr lang="en-IN" baseline="0"/>
                      <a:pPr/>
                      <a:t>[VALUE]</a:t>
                    </a:fld>
                    <a:endParaRPr lang="en-IN"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62C5-4B60-80CD-EE475241B6EF}"/>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val>
            <c:numRef>
              <c:f>'Dynamic Data-RE'!$G$107:$G$140</c:f>
              <c:numCache>
                <c:formatCode>0.0000</c:formatCode>
                <c:ptCount val="34"/>
                <c:pt idx="0">
                  <c:v>0.231183</c:v>
                </c:pt>
                <c:pt idx="1">
                  <c:v>2.7965E-2</c:v>
                </c:pt>
                <c:pt idx="2">
                  <c:v>-0.11777700000000001</c:v>
                </c:pt>
                <c:pt idx="3">
                  <c:v>-0.11769399999999999</c:v>
                </c:pt>
                <c:pt idx="4">
                  <c:v>0.93914600000000004</c:v>
                </c:pt>
                <c:pt idx="5" formatCode="General">
                  <c:v>0</c:v>
                </c:pt>
                <c:pt idx="6" formatCode="General">
                  <c:v>0</c:v>
                </c:pt>
                <c:pt idx="7" formatCode="General">
                  <c:v>0</c:v>
                </c:pt>
                <c:pt idx="8">
                  <c:v>-0.12723400000000001</c:v>
                </c:pt>
                <c:pt idx="9">
                  <c:v>0.62215500000000001</c:v>
                </c:pt>
                <c:pt idx="10">
                  <c:v>-1.9000000000000001E-4</c:v>
                </c:pt>
                <c:pt idx="11">
                  <c:v>0.22800799999999999</c:v>
                </c:pt>
                <c:pt idx="12">
                  <c:v>0.43525700000000001</c:v>
                </c:pt>
                <c:pt idx="13">
                  <c:v>6.3299999999999999E-4</c:v>
                </c:pt>
                <c:pt idx="14">
                  <c:v>0.154728</c:v>
                </c:pt>
                <c:pt idx="15">
                  <c:v>0.95755299999999999</c:v>
                </c:pt>
                <c:pt idx="16" formatCode="General">
                  <c:v>0</c:v>
                </c:pt>
                <c:pt idx="17" formatCode="General">
                  <c:v>0</c:v>
                </c:pt>
                <c:pt idx="18" formatCode="General">
                  <c:v>0</c:v>
                </c:pt>
                <c:pt idx="19">
                  <c:v>1.0250000000000001E-3</c:v>
                </c:pt>
                <c:pt idx="20">
                  <c:v>-7.6952999999999994E-2</c:v>
                </c:pt>
                <c:pt idx="21">
                  <c:v>0.29060000000000002</c:v>
                </c:pt>
                <c:pt idx="22">
                  <c:v>1.011947907407293</c:v>
                </c:pt>
                <c:pt idx="23">
                  <c:v>-2.1493000000000002E-2</c:v>
                </c:pt>
                <c:pt idx="24">
                  <c:v>0.215033</c:v>
                </c:pt>
                <c:pt idx="25">
                  <c:v>-9.7073000000000007E-2</c:v>
                </c:pt>
                <c:pt idx="26">
                  <c:v>-0.34123300000000001</c:v>
                </c:pt>
                <c:pt idx="27">
                  <c:v>-0.34115499999999999</c:v>
                </c:pt>
                <c:pt idx="28">
                  <c:v>0.82677800000000001</c:v>
                </c:pt>
                <c:pt idx="29" formatCode="General">
                  <c:v>0</c:v>
                </c:pt>
                <c:pt idx="30" formatCode="General">
                  <c:v>0</c:v>
                </c:pt>
                <c:pt idx="31" formatCode="General">
                  <c:v>0</c:v>
                </c:pt>
                <c:pt idx="32">
                  <c:v>-0.50697700000000001</c:v>
                </c:pt>
                <c:pt idx="33">
                  <c:v>0.24177899999999999</c:v>
                </c:pt>
              </c:numCache>
            </c:numRef>
          </c:val>
          <c:extLst>
            <c:ext xmlns:c15="http://schemas.microsoft.com/office/drawing/2012/chart" uri="{02D57815-91ED-43cb-92C2-25804820EDAC}">
              <c15:datalabelsRange>
                <c15:f>'Dynamic Data-RE'!$C$107:$C$140</c15:f>
                <c15:dlblRangeCache>
                  <c:ptCount val="34"/>
                  <c:pt idx="0">
                    <c:v>V=110%</c:v>
                  </c:pt>
                  <c:pt idx="1">
                    <c:v>V=110%</c:v>
                  </c:pt>
                  <c:pt idx="2">
                    <c:v>V=110%</c:v>
                  </c:pt>
                  <c:pt idx="3">
                    <c:v>V=110%</c:v>
                  </c:pt>
                  <c:pt idx="4">
                    <c:v>V=110%</c:v>
                  </c:pt>
                  <c:pt idx="5">
                    <c:v>V=110%</c:v>
                  </c:pt>
                  <c:pt idx="6">
                    <c:v>V=110%</c:v>
                  </c:pt>
                  <c:pt idx="7">
                    <c:v>V=110%</c:v>
                  </c:pt>
                  <c:pt idx="8">
                    <c:v>V=110%</c:v>
                  </c:pt>
                  <c:pt idx="9">
                    <c:v>V=110%</c:v>
                  </c:pt>
                  <c:pt idx="10">
                    <c:v>V=120%</c:v>
                  </c:pt>
                  <c:pt idx="11">
                    <c:v>V=120%</c:v>
                  </c:pt>
                  <c:pt idx="12">
                    <c:v>V=120%</c:v>
                  </c:pt>
                  <c:pt idx="13">
                    <c:v>V=120%</c:v>
                  </c:pt>
                  <c:pt idx="14">
                    <c:v>V=120%</c:v>
                  </c:pt>
                  <c:pt idx="15">
                    <c:v>V=120%</c:v>
                  </c:pt>
                  <c:pt idx="16">
                    <c:v>V=120%</c:v>
                  </c:pt>
                  <c:pt idx="17">
                    <c:v>V=120%</c:v>
                  </c:pt>
                  <c:pt idx="18">
                    <c:v>V=120%</c:v>
                  </c:pt>
                  <c:pt idx="19">
                    <c:v>V=120%</c:v>
                  </c:pt>
                  <c:pt idx="20">
                    <c:v>V=120%</c:v>
                  </c:pt>
                  <c:pt idx="21">
                    <c:v>V=120%</c:v>
                  </c:pt>
                  <c:pt idx="22">
                    <c:v>V=120%</c:v>
                  </c:pt>
                  <c:pt idx="23">
                    <c:v>V=130%</c:v>
                  </c:pt>
                  <c:pt idx="24">
                    <c:v>V=130%</c:v>
                  </c:pt>
                  <c:pt idx="25">
                    <c:v>V=130%</c:v>
                  </c:pt>
                  <c:pt idx="26">
                    <c:v>V=130%</c:v>
                  </c:pt>
                  <c:pt idx="27">
                    <c:v>V=130%</c:v>
                  </c:pt>
                  <c:pt idx="28">
                    <c:v>V=130%</c:v>
                  </c:pt>
                  <c:pt idx="29">
                    <c:v>V=130%</c:v>
                  </c:pt>
                  <c:pt idx="30">
                    <c:v>V=130%</c:v>
                  </c:pt>
                  <c:pt idx="31">
                    <c:v>V=130%</c:v>
                  </c:pt>
                  <c:pt idx="32">
                    <c:v>V=130%</c:v>
                  </c:pt>
                  <c:pt idx="33">
                    <c:v>V=130%</c:v>
                  </c:pt>
                </c15:dlblRangeCache>
              </c15:datalabelsRange>
            </c:ext>
            <c:ext xmlns:c16="http://schemas.microsoft.com/office/drawing/2014/chart" uri="{C3380CC4-5D6E-409C-BE32-E72D297353CC}">
              <c16:uniqueId val="{0000000C-8295-4AC6-BC80-3C298DE3F19D}"/>
            </c:ext>
          </c:extLst>
        </c:ser>
        <c:ser>
          <c:idx val="1"/>
          <c:order val="1"/>
          <c:tx>
            <c:v>Iq_Total_PSCAD</c:v>
          </c:tx>
          <c:spPr>
            <a:ln w="31750" cap="rnd">
              <a:solidFill>
                <a:schemeClr val="accent2"/>
              </a:solidFill>
              <a:round/>
            </a:ln>
            <a:effectLst/>
          </c:spPr>
          <c:marker>
            <c:symbol val="none"/>
          </c:marker>
          <c:val>
            <c:numRef>
              <c:f>'Dynamic Data-RE'!$H$107:$H$140</c:f>
              <c:numCache>
                <c:formatCode>General</c:formatCode>
                <c:ptCount val="34"/>
                <c:pt idx="0">
                  <c:v>3.0000000000000001E-3</c:v>
                </c:pt>
                <c:pt idx="1">
                  <c:v>0.26700000000000002</c:v>
                </c:pt>
                <c:pt idx="2">
                  <c:v>5.2400000000000002E-2</c:v>
                </c:pt>
                <c:pt idx="3">
                  <c:v>5.6600000000000004E-2</c:v>
                </c:pt>
                <c:pt idx="4">
                  <c:v>6.88E-2</c:v>
                </c:pt>
                <c:pt idx="5">
                  <c:v>0</c:v>
                </c:pt>
                <c:pt idx="6">
                  <c:v>0</c:v>
                </c:pt>
                <c:pt idx="7">
                  <c:v>0</c:v>
                </c:pt>
                <c:pt idx="8">
                  <c:v>0.84830000000000005</c:v>
                </c:pt>
                <c:pt idx="9">
                  <c:v>1.6483000000000001</c:v>
                </c:pt>
                <c:pt idx="10">
                  <c:v>6.9999999999999999E-4</c:v>
                </c:pt>
                <c:pt idx="11">
                  <c:v>3.4000000000000002E-3</c:v>
                </c:pt>
                <c:pt idx="12">
                  <c:v>0.24</c:v>
                </c:pt>
                <c:pt idx="13">
                  <c:v>2.7300000000000001E-2</c:v>
                </c:pt>
                <c:pt idx="14">
                  <c:v>3.4300000000000004E-2</c:v>
                </c:pt>
                <c:pt idx="15">
                  <c:v>0.85399999999999998</c:v>
                </c:pt>
                <c:pt idx="16">
                  <c:v>0</c:v>
                </c:pt>
                <c:pt idx="17">
                  <c:v>0</c:v>
                </c:pt>
                <c:pt idx="18">
                  <c:v>0</c:v>
                </c:pt>
                <c:pt idx="19">
                  <c:v>1.0449999999999999</c:v>
                </c:pt>
                <c:pt idx="20">
                  <c:v>1.85</c:v>
                </c:pt>
                <c:pt idx="21">
                  <c:v>-0.42</c:v>
                </c:pt>
                <c:pt idx="22">
                  <c:v>0.72</c:v>
                </c:pt>
                <c:pt idx="23">
                  <c:v>3.6799999999999999E-2</c:v>
                </c:pt>
                <c:pt idx="24">
                  <c:v>3.78E-2</c:v>
                </c:pt>
                <c:pt idx="25">
                  <c:v>0.249</c:v>
                </c:pt>
                <c:pt idx="26">
                  <c:v>-8.5819999999999994E-2</c:v>
                </c:pt>
                <c:pt idx="27">
                  <c:v>-8.1199999999999994E-2</c:v>
                </c:pt>
                <c:pt idx="28">
                  <c:v>0.87080000000000002</c:v>
                </c:pt>
                <c:pt idx="29">
                  <c:v>0</c:v>
                </c:pt>
                <c:pt idx="30">
                  <c:v>0</c:v>
                </c:pt>
                <c:pt idx="31">
                  <c:v>0</c:v>
                </c:pt>
                <c:pt idx="32">
                  <c:v>1.0475000000000001</c:v>
                </c:pt>
                <c:pt idx="33">
                  <c:v>1.8425000000000002</c:v>
                </c:pt>
              </c:numCache>
            </c:numRef>
          </c:val>
          <c:extLst>
            <c:ext xmlns:c16="http://schemas.microsoft.com/office/drawing/2014/chart" uri="{C3380CC4-5D6E-409C-BE32-E72D297353CC}">
              <c16:uniqueId val="{0000000D-8295-4AC6-BC80-3C298DE3F19D}"/>
            </c:ext>
          </c:extLst>
        </c:ser>
        <c:ser>
          <c:idx val="2"/>
          <c:order val="2"/>
          <c:tx>
            <c:v>Iq_Total_Upper_lim</c:v>
          </c:tx>
          <c:spPr>
            <a:ln w="31750" cap="rnd">
              <a:solidFill>
                <a:schemeClr val="accent3"/>
              </a:solidFill>
              <a:round/>
            </a:ln>
            <a:effectLst/>
          </c:spPr>
          <c:marker>
            <c:symbol val="none"/>
          </c:marker>
          <c:val>
            <c:numRef>
              <c:f>'Dynamic Data-RE'!$J$107:$J$140</c:f>
              <c:numCache>
                <c:formatCode>General</c:formatCode>
                <c:ptCount val="34"/>
                <c:pt idx="0">
                  <c:v>1</c:v>
                </c:pt>
                <c:pt idx="1">
                  <c:v>1</c:v>
                </c:pt>
                <c:pt idx="2">
                  <c:v>0</c:v>
                </c:pt>
                <c:pt idx="3">
                  <c:v>1</c:v>
                </c:pt>
                <c:pt idx="4">
                  <c:v>1</c:v>
                </c:pt>
                <c:pt idx="5">
                  <c:v>0</c:v>
                </c:pt>
                <c:pt idx="6">
                  <c:v>1</c:v>
                </c:pt>
                <c:pt idx="7">
                  <c:v>1</c:v>
                </c:pt>
                <c:pt idx="8">
                  <c:v>0</c:v>
                </c:pt>
                <c:pt idx="9">
                  <c:v>1</c:v>
                </c:pt>
                <c:pt idx="10">
                  <c:v>0</c:v>
                </c:pt>
                <c:pt idx="11">
                  <c:v>1</c:v>
                </c:pt>
                <c:pt idx="12">
                  <c:v>1</c:v>
                </c:pt>
                <c:pt idx="13">
                  <c:v>0</c:v>
                </c:pt>
                <c:pt idx="14">
                  <c:v>1</c:v>
                </c:pt>
                <c:pt idx="15">
                  <c:v>1</c:v>
                </c:pt>
                <c:pt idx="16">
                  <c:v>0</c:v>
                </c:pt>
                <c:pt idx="17">
                  <c:v>1</c:v>
                </c:pt>
                <c:pt idx="18">
                  <c:v>1</c:v>
                </c:pt>
                <c:pt idx="19">
                  <c:v>0</c:v>
                </c:pt>
                <c:pt idx="20">
                  <c:v>1</c:v>
                </c:pt>
                <c:pt idx="21">
                  <c:v>1</c:v>
                </c:pt>
                <c:pt idx="22">
                  <c:v>1</c:v>
                </c:pt>
                <c:pt idx="23">
                  <c:v>0</c:v>
                </c:pt>
                <c:pt idx="24">
                  <c:v>1</c:v>
                </c:pt>
                <c:pt idx="25">
                  <c:v>1</c:v>
                </c:pt>
                <c:pt idx="26">
                  <c:v>0</c:v>
                </c:pt>
                <c:pt idx="27">
                  <c:v>1</c:v>
                </c:pt>
                <c:pt idx="28">
                  <c:v>1</c:v>
                </c:pt>
                <c:pt idx="29">
                  <c:v>0</c:v>
                </c:pt>
                <c:pt idx="30">
                  <c:v>1</c:v>
                </c:pt>
                <c:pt idx="31">
                  <c:v>1</c:v>
                </c:pt>
                <c:pt idx="32">
                  <c:v>0</c:v>
                </c:pt>
                <c:pt idx="33">
                  <c:v>1</c:v>
                </c:pt>
              </c:numCache>
            </c:numRef>
          </c:val>
          <c:extLst>
            <c:ext xmlns:c16="http://schemas.microsoft.com/office/drawing/2014/chart" uri="{C3380CC4-5D6E-409C-BE32-E72D297353CC}">
              <c16:uniqueId val="{0000000F-8295-4AC6-BC80-3C298DE3F19D}"/>
            </c:ext>
          </c:extLst>
        </c:ser>
        <c:dLbls>
          <c:showLegendKey val="0"/>
          <c:showVal val="0"/>
          <c:showCatName val="0"/>
          <c:showSerName val="0"/>
          <c:showPercent val="0"/>
          <c:showBubbleSize val="0"/>
        </c:dLbls>
        <c:axId val="567699680"/>
        <c:axId val="567700160"/>
      </c:radarChart>
      <c:catAx>
        <c:axId val="56769968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7700160"/>
        <c:crosses val="autoZero"/>
        <c:auto val="1"/>
        <c:lblAlgn val="ctr"/>
        <c:lblOffset val="100"/>
        <c:noMultiLvlLbl val="0"/>
      </c:catAx>
      <c:valAx>
        <c:axId val="567700160"/>
        <c:scaling>
          <c:orientation val="minMax"/>
        </c:scaling>
        <c:delete val="0"/>
        <c:axPos val="l"/>
        <c:majorGridlines>
          <c:spPr>
            <a:ln w="9525" cap="flat" cmpd="sng" algn="ctr">
              <a:solidFill>
                <a:schemeClr val="tx2">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76996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chemeClr val="tx2"/>
                </a:solidFill>
                <a:latin typeface="+mn-lt"/>
                <a:ea typeface="+mn-ea"/>
                <a:cs typeface="+mn-cs"/>
              </a:defRPr>
            </a:pPr>
            <a:r>
              <a:rPr lang="en-IN" sz="2800" b="1">
                <a:solidFill>
                  <a:schemeClr val="tx2"/>
                </a:solidFill>
              </a:rPr>
              <a:t>Reactive</a:t>
            </a:r>
            <a:r>
              <a:rPr lang="en-IN" sz="2800" b="1" baseline="0">
                <a:solidFill>
                  <a:schemeClr val="tx2"/>
                </a:solidFill>
              </a:rPr>
              <a:t> Power Capability Check</a:t>
            </a:r>
            <a:r>
              <a:rPr lang="en-IN" sz="2800" b="1">
                <a:solidFill>
                  <a:schemeClr val="tx2"/>
                </a:solidFill>
              </a:rPr>
              <a:t> </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v>Plant_Q-V_Capability</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7"/>
              <c:layout>
                <c:manualLayout>
                  <c:x val="-6.4856100526955812E-2"/>
                  <c:y val="-4.101995565410203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30D-4455-9BA2-AB888E79FDD0}"/>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('Steady State'!$E$18:$E$55,'Steady State'!$E$18:$E$24)</c:f>
              <c:numCache>
                <c:formatCode>General</c:formatCode>
                <c:ptCount val="45"/>
                <c:pt idx="0">
                  <c:v>0.95</c:v>
                </c:pt>
                <c:pt idx="1">
                  <c:v>0.95</c:v>
                </c:pt>
                <c:pt idx="2">
                  <c:v>0.95</c:v>
                </c:pt>
                <c:pt idx="3">
                  <c:v>0.95</c:v>
                </c:pt>
                <c:pt idx="4">
                  <c:v>0.95</c:v>
                </c:pt>
                <c:pt idx="5">
                  <c:v>0.95</c:v>
                </c:pt>
                <c:pt idx="6">
                  <c:v>0.95</c:v>
                </c:pt>
                <c:pt idx="7">
                  <c:v>0.95</c:v>
                </c:pt>
                <c:pt idx="8">
                  <c:v>0.95</c:v>
                </c:pt>
                <c:pt idx="9">
                  <c:v>0.95</c:v>
                </c:pt>
                <c:pt idx="10">
                  <c:v>0.95</c:v>
                </c:pt>
                <c:pt idx="11">
                  <c:v>0.95</c:v>
                </c:pt>
                <c:pt idx="12">
                  <c:v>0.95</c:v>
                </c:pt>
                <c:pt idx="13">
                  <c:v>0.95</c:v>
                </c:pt>
                <c:pt idx="14">
                  <c:v>1</c:v>
                </c:pt>
                <c:pt idx="15">
                  <c:v>1</c:v>
                </c:pt>
                <c:pt idx="16">
                  <c:v>1</c:v>
                </c:pt>
                <c:pt idx="17">
                  <c:v>1</c:v>
                </c:pt>
                <c:pt idx="18">
                  <c:v>1</c:v>
                </c:pt>
                <c:pt idx="19">
                  <c:v>1</c:v>
                </c:pt>
                <c:pt idx="20">
                  <c:v>1.05</c:v>
                </c:pt>
                <c:pt idx="21">
                  <c:v>1.05</c:v>
                </c:pt>
                <c:pt idx="22">
                  <c:v>1.05</c:v>
                </c:pt>
                <c:pt idx="23">
                  <c:v>1.05</c:v>
                </c:pt>
                <c:pt idx="24">
                  <c:v>1.05</c:v>
                </c:pt>
                <c:pt idx="25">
                  <c:v>1.05</c:v>
                </c:pt>
                <c:pt idx="26">
                  <c:v>1.05</c:v>
                </c:pt>
                <c:pt idx="27">
                  <c:v>1.05</c:v>
                </c:pt>
                <c:pt idx="28">
                  <c:v>1.05</c:v>
                </c:pt>
                <c:pt idx="29">
                  <c:v>1.05</c:v>
                </c:pt>
                <c:pt idx="30">
                  <c:v>1.05</c:v>
                </c:pt>
                <c:pt idx="31">
                  <c:v>1.05</c:v>
                </c:pt>
                <c:pt idx="32">
                  <c:v>1</c:v>
                </c:pt>
                <c:pt idx="33">
                  <c:v>1</c:v>
                </c:pt>
                <c:pt idx="34">
                  <c:v>1</c:v>
                </c:pt>
                <c:pt idx="35">
                  <c:v>1</c:v>
                </c:pt>
                <c:pt idx="36">
                  <c:v>1</c:v>
                </c:pt>
                <c:pt idx="37">
                  <c:v>1</c:v>
                </c:pt>
                <c:pt idx="38">
                  <c:v>0.95</c:v>
                </c:pt>
                <c:pt idx="39">
                  <c:v>0.95</c:v>
                </c:pt>
                <c:pt idx="40">
                  <c:v>0.95</c:v>
                </c:pt>
                <c:pt idx="41">
                  <c:v>0.95</c:v>
                </c:pt>
                <c:pt idx="42">
                  <c:v>0.95</c:v>
                </c:pt>
                <c:pt idx="43">
                  <c:v>0.95</c:v>
                </c:pt>
                <c:pt idx="44">
                  <c:v>0.95</c:v>
                </c:pt>
              </c:numCache>
            </c:numRef>
          </c:xVal>
          <c:yVal>
            <c:numRef>
              <c:f>('Steady State'!$G$18:$G$55,'Steady State'!$G$18:$G$24)</c:f>
              <c:numCache>
                <c:formatCode>General</c:formatCode>
                <c:ptCount val="45"/>
                <c:pt idx="0">
                  <c:v>-0.01</c:v>
                </c:pt>
                <c:pt idx="1">
                  <c:v>0.28000000000000003</c:v>
                </c:pt>
                <c:pt idx="2">
                  <c:v>0</c:v>
                </c:pt>
                <c:pt idx="3">
                  <c:v>0</c:v>
                </c:pt>
                <c:pt idx="4">
                  <c:v>1</c:v>
                </c:pt>
                <c:pt idx="5">
                  <c:v>1</c:v>
                </c:pt>
                <c:pt idx="6">
                  <c:v>0</c:v>
                </c:pt>
                <c:pt idx="7">
                  <c:v>0.33</c:v>
                </c:pt>
                <c:pt idx="8">
                  <c:v>0.26</c:v>
                </c:pt>
                <c:pt idx="9">
                  <c:v>0.4</c:v>
                </c:pt>
                <c:pt idx="10">
                  <c:v>0</c:v>
                </c:pt>
                <c:pt idx="11">
                  <c:v>1</c:v>
                </c:pt>
                <c:pt idx="12">
                  <c:v>1</c:v>
                </c:pt>
                <c:pt idx="13">
                  <c:v>0.18</c:v>
                </c:pt>
                <c:pt idx="14">
                  <c:v>0.33</c:v>
                </c:pt>
                <c:pt idx="15">
                  <c:v>0.27</c:v>
                </c:pt>
                <c:pt idx="16">
                  <c:v>0.28000000000000003</c:v>
                </c:pt>
                <c:pt idx="17">
                  <c:v>1</c:v>
                </c:pt>
                <c:pt idx="18">
                  <c:v>1</c:v>
                </c:pt>
                <c:pt idx="19">
                  <c:v>0.16700000000000001</c:v>
                </c:pt>
                <c:pt idx="20">
                  <c:v>0.02</c:v>
                </c:pt>
                <c:pt idx="21">
                  <c:v>0.26</c:v>
                </c:pt>
                <c:pt idx="22">
                  <c:v>0</c:v>
                </c:pt>
                <c:pt idx="23">
                  <c:v>0.7</c:v>
                </c:pt>
                <c:pt idx="24">
                  <c:v>1</c:v>
                </c:pt>
                <c:pt idx="25">
                  <c:v>0</c:v>
                </c:pt>
                <c:pt idx="26">
                  <c:v>-0.33</c:v>
                </c:pt>
                <c:pt idx="27">
                  <c:v>0.27</c:v>
                </c:pt>
                <c:pt idx="28">
                  <c:v>0</c:v>
                </c:pt>
                <c:pt idx="29">
                  <c:v>0.02</c:v>
                </c:pt>
                <c:pt idx="30">
                  <c:v>1</c:v>
                </c:pt>
                <c:pt idx="31">
                  <c:v>0</c:v>
                </c:pt>
                <c:pt idx="32">
                  <c:v>-0.33</c:v>
                </c:pt>
                <c:pt idx="33">
                  <c:v>0.27</c:v>
                </c:pt>
                <c:pt idx="34">
                  <c:v>0</c:v>
                </c:pt>
                <c:pt idx="35">
                  <c:v>0</c:v>
                </c:pt>
                <c:pt idx="36">
                  <c:v>1</c:v>
                </c:pt>
                <c:pt idx="37">
                  <c:v>0</c:v>
                </c:pt>
                <c:pt idx="38">
                  <c:v>-0.01</c:v>
                </c:pt>
                <c:pt idx="39">
                  <c:v>0.28000000000000003</c:v>
                </c:pt>
                <c:pt idx="40">
                  <c:v>0</c:v>
                </c:pt>
                <c:pt idx="41">
                  <c:v>0</c:v>
                </c:pt>
                <c:pt idx="42">
                  <c:v>1</c:v>
                </c:pt>
                <c:pt idx="43">
                  <c:v>1</c:v>
                </c:pt>
                <c:pt idx="44">
                  <c:v>0</c:v>
                </c:pt>
              </c:numCache>
            </c:numRef>
          </c:yVal>
          <c:smooth val="0"/>
          <c:extLst>
            <c:ext xmlns:c16="http://schemas.microsoft.com/office/drawing/2014/chart" uri="{C3380CC4-5D6E-409C-BE32-E72D297353CC}">
              <c16:uniqueId val="{00000000-5010-459A-951F-E91F4CB1B21F}"/>
            </c:ext>
          </c:extLst>
        </c:ser>
        <c:ser>
          <c:idx val="1"/>
          <c:order val="1"/>
          <c:tx>
            <c:v>Q_Max</c:v>
          </c:tx>
          <c:spPr>
            <a:ln w="19050" cap="rnd">
              <a:solidFill>
                <a:schemeClr val="accent2"/>
              </a:solidFill>
              <a:round/>
            </a:ln>
            <a:effectLst/>
          </c:spPr>
          <c:marker>
            <c:symbol val="circle"/>
            <c:size val="5"/>
            <c:spPr>
              <a:solidFill>
                <a:schemeClr val="accent2"/>
              </a:solidFill>
              <a:ln w="9525">
                <a:solidFill>
                  <a:schemeClr val="accent2"/>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2-3C85-462B-A2F8-7FAB3FAD63D8}"/>
                </c:ext>
              </c:extLst>
            </c:dLbl>
            <c:dLbl>
              <c:idx val="7"/>
              <c:layout>
                <c:manualLayout>
                  <c:x val="2.432103769760843E-2"/>
                  <c:y val="4.767184035476714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30D-4455-9BA2-AB888E79FDD0}"/>
                </c:ext>
              </c:extLst>
            </c:dLbl>
            <c:dLbl>
              <c:idx val="20"/>
              <c:delete val="1"/>
              <c:extLst>
                <c:ext xmlns:c15="http://schemas.microsoft.com/office/drawing/2012/chart" uri="{CE6537A1-D6FC-4f65-9D91-7224C49458BB}"/>
                <c:ext xmlns:c16="http://schemas.microsoft.com/office/drawing/2014/chart" uri="{C3380CC4-5D6E-409C-BE32-E72D297353CC}">
                  <c16:uniqueId val="{00000002-230D-4455-9BA2-AB888E79FDD0}"/>
                </c:ext>
              </c:extLst>
            </c:dLbl>
            <c:dLbl>
              <c:idx val="26"/>
              <c:layout>
                <c:manualLayout>
                  <c:x val="-4.5399270368869191E-2"/>
                  <c:y val="-6.984478935698447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0D-4455-9BA2-AB888E79FDD0}"/>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'Steady State'!$E$18:$E$55</c:f>
              <c:numCache>
                <c:formatCode>General</c:formatCode>
                <c:ptCount val="38"/>
                <c:pt idx="0">
                  <c:v>0.95</c:v>
                </c:pt>
                <c:pt idx="1">
                  <c:v>0.95</c:v>
                </c:pt>
                <c:pt idx="2">
                  <c:v>0.95</c:v>
                </c:pt>
                <c:pt idx="3">
                  <c:v>0.95</c:v>
                </c:pt>
                <c:pt idx="4">
                  <c:v>0.95</c:v>
                </c:pt>
                <c:pt idx="5">
                  <c:v>0.95</c:v>
                </c:pt>
                <c:pt idx="6">
                  <c:v>0.95</c:v>
                </c:pt>
                <c:pt idx="7">
                  <c:v>0.95</c:v>
                </c:pt>
                <c:pt idx="8">
                  <c:v>0.95</c:v>
                </c:pt>
                <c:pt idx="9">
                  <c:v>0.95</c:v>
                </c:pt>
                <c:pt idx="10">
                  <c:v>0.95</c:v>
                </c:pt>
                <c:pt idx="11">
                  <c:v>0.95</c:v>
                </c:pt>
                <c:pt idx="12">
                  <c:v>0.95</c:v>
                </c:pt>
                <c:pt idx="13">
                  <c:v>0.95</c:v>
                </c:pt>
                <c:pt idx="14">
                  <c:v>1</c:v>
                </c:pt>
                <c:pt idx="15">
                  <c:v>1</c:v>
                </c:pt>
                <c:pt idx="16">
                  <c:v>1</c:v>
                </c:pt>
                <c:pt idx="17">
                  <c:v>1</c:v>
                </c:pt>
                <c:pt idx="18">
                  <c:v>1</c:v>
                </c:pt>
                <c:pt idx="19">
                  <c:v>1</c:v>
                </c:pt>
                <c:pt idx="20">
                  <c:v>1.05</c:v>
                </c:pt>
                <c:pt idx="21">
                  <c:v>1.05</c:v>
                </c:pt>
                <c:pt idx="22">
                  <c:v>1.05</c:v>
                </c:pt>
                <c:pt idx="23">
                  <c:v>1.05</c:v>
                </c:pt>
                <c:pt idx="24">
                  <c:v>1.05</c:v>
                </c:pt>
                <c:pt idx="25">
                  <c:v>1.05</c:v>
                </c:pt>
                <c:pt idx="26">
                  <c:v>1.05</c:v>
                </c:pt>
                <c:pt idx="27">
                  <c:v>1.05</c:v>
                </c:pt>
                <c:pt idx="28">
                  <c:v>1.05</c:v>
                </c:pt>
                <c:pt idx="29">
                  <c:v>1.05</c:v>
                </c:pt>
                <c:pt idx="30">
                  <c:v>1.05</c:v>
                </c:pt>
                <c:pt idx="31">
                  <c:v>1.05</c:v>
                </c:pt>
                <c:pt idx="32">
                  <c:v>1</c:v>
                </c:pt>
                <c:pt idx="33">
                  <c:v>1</c:v>
                </c:pt>
                <c:pt idx="34">
                  <c:v>1</c:v>
                </c:pt>
                <c:pt idx="35">
                  <c:v>1</c:v>
                </c:pt>
                <c:pt idx="36">
                  <c:v>1</c:v>
                </c:pt>
                <c:pt idx="37">
                  <c:v>1</c:v>
                </c:pt>
              </c:numCache>
            </c:numRef>
          </c:xVal>
          <c:yVal>
            <c:numRef>
              <c:f>'Steady State'!$I$18:$I$55</c:f>
              <c:numCache>
                <c:formatCode>General</c:formatCode>
                <c:ptCount val="38"/>
                <c:pt idx="0">
                  <c:v>1.643</c:v>
                </c:pt>
                <c:pt idx="1">
                  <c:v>1</c:v>
                </c:pt>
                <c:pt idx="2">
                  <c:v>1</c:v>
                </c:pt>
                <c:pt idx="3">
                  <c:v>1</c:v>
                </c:pt>
                <c:pt idx="4">
                  <c:v>1</c:v>
                </c:pt>
                <c:pt idx="5">
                  <c:v>1</c:v>
                </c:pt>
                <c:pt idx="6">
                  <c:v>1</c:v>
                </c:pt>
                <c:pt idx="7">
                  <c:v>1.643</c:v>
                </c:pt>
                <c:pt idx="8">
                  <c:v>1</c:v>
                </c:pt>
                <c:pt idx="9">
                  <c:v>1</c:v>
                </c:pt>
                <c:pt idx="10">
                  <c:v>1</c:v>
                </c:pt>
                <c:pt idx="11">
                  <c:v>1</c:v>
                </c:pt>
                <c:pt idx="12">
                  <c:v>1</c:v>
                </c:pt>
                <c:pt idx="13">
                  <c:v>1</c:v>
                </c:pt>
                <c:pt idx="14">
                  <c:v>1.643</c:v>
                </c:pt>
                <c:pt idx="15">
                  <c:v>1</c:v>
                </c:pt>
                <c:pt idx="16">
                  <c:v>1</c:v>
                </c:pt>
                <c:pt idx="17">
                  <c:v>1</c:v>
                </c:pt>
                <c:pt idx="18">
                  <c:v>1</c:v>
                </c:pt>
                <c:pt idx="19">
                  <c:v>1</c:v>
                </c:pt>
                <c:pt idx="20">
                  <c:v>0</c:v>
                </c:pt>
                <c:pt idx="21">
                  <c:v>1</c:v>
                </c:pt>
                <c:pt idx="22">
                  <c:v>0</c:v>
                </c:pt>
                <c:pt idx="23">
                  <c:v>0</c:v>
                </c:pt>
                <c:pt idx="24">
                  <c:v>1</c:v>
                </c:pt>
                <c:pt idx="25">
                  <c:v>1</c:v>
                </c:pt>
                <c:pt idx="26">
                  <c:v>0</c:v>
                </c:pt>
                <c:pt idx="27">
                  <c:v>-1</c:v>
                </c:pt>
                <c:pt idx="28">
                  <c:v>0</c:v>
                </c:pt>
                <c:pt idx="29">
                  <c:v>0</c:v>
                </c:pt>
                <c:pt idx="30">
                  <c:v>-1</c:v>
                </c:pt>
                <c:pt idx="31">
                  <c:v>-1</c:v>
                </c:pt>
                <c:pt idx="32">
                  <c:v>1.643</c:v>
                </c:pt>
                <c:pt idx="33">
                  <c:v>1</c:v>
                </c:pt>
                <c:pt idx="34">
                  <c:v>1</c:v>
                </c:pt>
                <c:pt idx="35">
                  <c:v>1</c:v>
                </c:pt>
                <c:pt idx="36">
                  <c:v>-1</c:v>
                </c:pt>
                <c:pt idx="37">
                  <c:v>-1</c:v>
                </c:pt>
              </c:numCache>
            </c:numRef>
          </c:yVal>
          <c:smooth val="0"/>
          <c:extLst>
            <c:ext xmlns:c16="http://schemas.microsoft.com/office/drawing/2014/chart" uri="{C3380CC4-5D6E-409C-BE32-E72D297353CC}">
              <c16:uniqueId val="{00000001-5010-459A-951F-E91F4CB1B21F}"/>
            </c:ext>
          </c:extLst>
        </c:ser>
        <c:ser>
          <c:idx val="2"/>
          <c:order val="2"/>
          <c:tx>
            <c:v>Q_min</c:v>
          </c:tx>
          <c:spPr>
            <a:ln w="19050" cap="rnd">
              <a:solidFill>
                <a:schemeClr val="accent3"/>
              </a:solidFill>
              <a:round/>
            </a:ln>
            <a:effectLst/>
          </c:spPr>
          <c:marker>
            <c:symbol val="circle"/>
            <c:size val="5"/>
            <c:spPr>
              <a:solidFill>
                <a:schemeClr val="accent3"/>
              </a:solidFill>
              <a:ln w="9525">
                <a:solidFill>
                  <a:schemeClr val="accent3"/>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1-9E57-4D95-BECC-A2315CFA7799}"/>
                </c:ext>
              </c:extLst>
            </c:dLbl>
            <c:dLbl>
              <c:idx val="7"/>
              <c:layout>
                <c:manualLayout>
                  <c:x val="-5.640649724992202E-2"/>
                  <c:y val="3.02685716983354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30D-4455-9BA2-AB888E79FDD0}"/>
                </c:ext>
              </c:extLst>
            </c:dLbl>
            <c:dLbl>
              <c:idx val="14"/>
              <c:delete val="1"/>
              <c:extLst>
                <c:ext xmlns:c15="http://schemas.microsoft.com/office/drawing/2012/chart" uri="{CE6537A1-D6FC-4f65-9D91-7224C49458BB}"/>
                <c:ext xmlns:c16="http://schemas.microsoft.com/office/drawing/2014/chart" uri="{C3380CC4-5D6E-409C-BE32-E72D297353CC}">
                  <c16:uniqueId val="{00000005-230D-4455-9BA2-AB888E79FDD0}"/>
                </c:ext>
              </c:extLst>
            </c:dLbl>
            <c:dLbl>
              <c:idx val="20"/>
              <c:delete val="1"/>
              <c:extLst>
                <c:ext xmlns:c15="http://schemas.microsoft.com/office/drawing/2012/chart" uri="{CE6537A1-D6FC-4f65-9D91-7224C49458BB}"/>
                <c:ext xmlns:c16="http://schemas.microsoft.com/office/drawing/2014/chart" uri="{C3380CC4-5D6E-409C-BE32-E72D297353CC}">
                  <c16:uniqueId val="{00000006-230D-4455-9BA2-AB888E79FDD0}"/>
                </c:ext>
              </c:extLst>
            </c:dLbl>
            <c:dLbl>
              <c:idx val="26"/>
              <c:layout>
                <c:manualLayout>
                  <c:x val="-6.9678614249903764E-2"/>
                  <c:y val="2.910439586378409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30D-4455-9BA2-AB888E79FDD0}"/>
                </c:ext>
              </c:extLst>
            </c:dLbl>
            <c:dLbl>
              <c:idx val="32"/>
              <c:layout>
                <c:manualLayout>
                  <c:x val="-8.7927775124878413E-2"/>
                  <c:y val="3.608945087109227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30D-4455-9BA2-AB888E79FDD0}"/>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'Steady State'!$E$18:$E$55</c:f>
              <c:numCache>
                <c:formatCode>General</c:formatCode>
                <c:ptCount val="38"/>
                <c:pt idx="0">
                  <c:v>0.95</c:v>
                </c:pt>
                <c:pt idx="1">
                  <c:v>0.95</c:v>
                </c:pt>
                <c:pt idx="2">
                  <c:v>0.95</c:v>
                </c:pt>
                <c:pt idx="3">
                  <c:v>0.95</c:v>
                </c:pt>
                <c:pt idx="4">
                  <c:v>0.95</c:v>
                </c:pt>
                <c:pt idx="5">
                  <c:v>0.95</c:v>
                </c:pt>
                <c:pt idx="6">
                  <c:v>0.95</c:v>
                </c:pt>
                <c:pt idx="7">
                  <c:v>0.95</c:v>
                </c:pt>
                <c:pt idx="8">
                  <c:v>0.95</c:v>
                </c:pt>
                <c:pt idx="9">
                  <c:v>0.95</c:v>
                </c:pt>
                <c:pt idx="10">
                  <c:v>0.95</c:v>
                </c:pt>
                <c:pt idx="11">
                  <c:v>0.95</c:v>
                </c:pt>
                <c:pt idx="12">
                  <c:v>0.95</c:v>
                </c:pt>
                <c:pt idx="13">
                  <c:v>0.95</c:v>
                </c:pt>
                <c:pt idx="14">
                  <c:v>1</c:v>
                </c:pt>
                <c:pt idx="15">
                  <c:v>1</c:v>
                </c:pt>
                <c:pt idx="16">
                  <c:v>1</c:v>
                </c:pt>
                <c:pt idx="17">
                  <c:v>1</c:v>
                </c:pt>
                <c:pt idx="18">
                  <c:v>1</c:v>
                </c:pt>
                <c:pt idx="19">
                  <c:v>1</c:v>
                </c:pt>
                <c:pt idx="20">
                  <c:v>1.05</c:v>
                </c:pt>
                <c:pt idx="21">
                  <c:v>1.05</c:v>
                </c:pt>
                <c:pt idx="22">
                  <c:v>1.05</c:v>
                </c:pt>
                <c:pt idx="23">
                  <c:v>1.05</c:v>
                </c:pt>
                <c:pt idx="24">
                  <c:v>1.05</c:v>
                </c:pt>
                <c:pt idx="25">
                  <c:v>1.05</c:v>
                </c:pt>
                <c:pt idx="26">
                  <c:v>1.05</c:v>
                </c:pt>
                <c:pt idx="27">
                  <c:v>1.05</c:v>
                </c:pt>
                <c:pt idx="28">
                  <c:v>1.05</c:v>
                </c:pt>
                <c:pt idx="29">
                  <c:v>1.05</c:v>
                </c:pt>
                <c:pt idx="30">
                  <c:v>1.05</c:v>
                </c:pt>
                <c:pt idx="31">
                  <c:v>1.05</c:v>
                </c:pt>
                <c:pt idx="32">
                  <c:v>1</c:v>
                </c:pt>
                <c:pt idx="33">
                  <c:v>1</c:v>
                </c:pt>
                <c:pt idx="34">
                  <c:v>1</c:v>
                </c:pt>
                <c:pt idx="35">
                  <c:v>1</c:v>
                </c:pt>
                <c:pt idx="36">
                  <c:v>1</c:v>
                </c:pt>
                <c:pt idx="37">
                  <c:v>1</c:v>
                </c:pt>
              </c:numCache>
            </c:numRef>
          </c:xVal>
          <c:yVal>
            <c:numRef>
              <c:f>'Steady State'!$H$18:$H$55</c:f>
              <c:numCache>
                <c:formatCode>General</c:formatCode>
                <c:ptCount val="3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-1.643</c:v>
                </c:pt>
                <c:pt idx="15">
                  <c:v>0</c:v>
                </c:pt>
                <c:pt idx="16">
                  <c:v>-1</c:v>
                </c:pt>
                <c:pt idx="17">
                  <c:v>-1</c:v>
                </c:pt>
                <c:pt idx="18">
                  <c:v>0</c:v>
                </c:pt>
                <c:pt idx="19">
                  <c:v>0</c:v>
                </c:pt>
                <c:pt idx="20">
                  <c:v>-1.643</c:v>
                </c:pt>
                <c:pt idx="21">
                  <c:v>0</c:v>
                </c:pt>
                <c:pt idx="22">
                  <c:v>-1</c:v>
                </c:pt>
                <c:pt idx="23">
                  <c:v>-1</c:v>
                </c:pt>
                <c:pt idx="24">
                  <c:v>0</c:v>
                </c:pt>
                <c:pt idx="25">
                  <c:v>0</c:v>
                </c:pt>
                <c:pt idx="26">
                  <c:v>-1.643</c:v>
                </c:pt>
                <c:pt idx="27">
                  <c:v>0</c:v>
                </c:pt>
                <c:pt idx="28">
                  <c:v>-1</c:v>
                </c:pt>
                <c:pt idx="29">
                  <c:v>-1</c:v>
                </c:pt>
                <c:pt idx="30">
                  <c:v>0</c:v>
                </c:pt>
                <c:pt idx="31">
                  <c:v>0</c:v>
                </c:pt>
                <c:pt idx="32">
                  <c:v>-1.643</c:v>
                </c:pt>
                <c:pt idx="33">
                  <c:v>0</c:v>
                </c:pt>
                <c:pt idx="34">
                  <c:v>-1</c:v>
                </c:pt>
                <c:pt idx="35">
                  <c:v>-1</c:v>
                </c:pt>
                <c:pt idx="36">
                  <c:v>0</c:v>
                </c:pt>
                <c:pt idx="37">
                  <c:v>0</c:v>
                </c:pt>
              </c:numCache>
            </c:numRef>
          </c:yVal>
          <c:smooth val="0"/>
          <c:extLst>
            <c:ext xmlns:c16="http://schemas.microsoft.com/office/drawing/2014/chart" uri="{C3380CC4-5D6E-409C-BE32-E72D297353CC}">
              <c16:uniqueId val="{00000002-5010-459A-951F-E91F4CB1B21F}"/>
            </c:ext>
          </c:extLst>
        </c:ser>
        <c:dLbls>
          <c:showLegendKey val="0"/>
          <c:showVal val="0"/>
          <c:showCatName val="0"/>
          <c:showSerName val="0"/>
          <c:showPercent val="0"/>
          <c:showBubbleSize val="0"/>
        </c:dLbls>
        <c:axId val="795264640"/>
        <c:axId val="795255040"/>
      </c:scatterChart>
      <c:valAx>
        <c:axId val="795264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795255040"/>
        <c:crosses val="autoZero"/>
        <c:crossBetween val="midCat"/>
      </c:valAx>
      <c:valAx>
        <c:axId val="79525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79526464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000" b="1" i="0" u="none" strike="noStrike" kern="1200" cap="none" spc="20" baseline="0">
                <a:solidFill>
                  <a:schemeClr val="tx2"/>
                </a:solidFill>
                <a:latin typeface="+mn-lt"/>
                <a:ea typeface="+mn-ea"/>
                <a:cs typeface="+mn-cs"/>
              </a:defRPr>
            </a:pPr>
            <a:r>
              <a:rPr lang="en-IN" sz="3000" b="1">
                <a:solidFill>
                  <a:schemeClr val="tx2"/>
                </a:solidFill>
              </a:rPr>
              <a:t> Power</a:t>
            </a:r>
            <a:r>
              <a:rPr lang="en-IN" sz="3000" b="1" baseline="0">
                <a:solidFill>
                  <a:schemeClr val="tx2"/>
                </a:solidFill>
              </a:rPr>
              <a:t> Quality - Current Distortion Groups</a:t>
            </a:r>
            <a:endParaRPr lang="en-IN" sz="3000" b="1">
              <a:solidFill>
                <a:schemeClr val="tx2"/>
              </a:solidFill>
            </a:endParaRPr>
          </a:p>
        </c:rich>
      </c:tx>
      <c:overlay val="0"/>
      <c:spPr>
        <a:noFill/>
        <a:ln>
          <a:noFill/>
        </a:ln>
        <a:effectLst/>
      </c:spPr>
      <c:txPr>
        <a:bodyPr rot="0" spcFirstLastPara="1" vertOverflow="ellipsis" vert="horz" wrap="square" anchor="ctr" anchorCtr="1"/>
        <a:lstStyle/>
        <a:p>
          <a:pPr>
            <a:defRPr sz="3000" b="1" i="0" u="none" strike="noStrike" kern="1200" cap="none" spc="20" baseline="0">
              <a:solidFill>
                <a:schemeClr val="tx2"/>
              </a:solidFill>
              <a:latin typeface="+mn-lt"/>
              <a:ea typeface="+mn-ea"/>
              <a:cs typeface="+mn-cs"/>
            </a:defRPr>
          </a:pPr>
          <a:endParaRPr lang="en-IN"/>
        </a:p>
      </c:txPr>
    </c:title>
    <c:autoTitleDeleted val="0"/>
    <c:plotArea>
      <c:layout/>
      <c:barChart>
        <c:barDir val="col"/>
        <c:grouping val="clustered"/>
        <c:varyColors val="0"/>
        <c:ser>
          <c:idx val="0"/>
          <c:order val="0"/>
          <c:tx>
            <c:v>TDD - Current Harmonics Group</c:v>
          </c:tx>
          <c:spPr>
            <a:gradFill>
              <a:gsLst>
                <a:gs pos="0">
                  <a:schemeClr val="accent1">
                    <a:tint val="50000"/>
                  </a:schemeClr>
                </a:gs>
                <a:gs pos="35000">
                  <a:schemeClr val="accent1">
                    <a:tint val="37000"/>
                  </a:schemeClr>
                </a:gs>
                <a:gs pos="100000">
                  <a:schemeClr val="accent1">
                    <a:tint val="15000"/>
                  </a:schemeClr>
                </a:gs>
              </a:gsLst>
              <a:lin ang="16200000" scaled="1"/>
              <a:tileRect/>
            </a:gradFill>
            <a:ln w="9525" cap="flat" cmpd="sng" algn="ctr">
              <a:solidFill>
                <a:schemeClr val="accent1">
                  <a:shade val="95000"/>
                </a:schemeClr>
              </a:solidFill>
              <a:round/>
            </a:ln>
            <a:effectLst/>
          </c:spPr>
          <c:invertIfNegative val="0"/>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val>
            <c:numRef>
              <c:f>'Power Quality'!$F$10:$F$15</c:f>
              <c:numCache>
                <c:formatCode>0.00%</c:formatCode>
                <c:ptCount val="6"/>
                <c:pt idx="0">
                  <c:v>3.9449999999999997E-3</c:v>
                </c:pt>
                <c:pt idx="1">
                  <c:v>9.4310000000000001E-3</c:v>
                </c:pt>
                <c:pt idx="2">
                  <c:v>7.3499999999999998E-4</c:v>
                </c:pt>
                <c:pt idx="3">
                  <c:v>2.6900000000000001E-3</c:v>
                </c:pt>
                <c:pt idx="4">
                  <c:v>8.5099999999999998E-4</c:v>
                </c:pt>
                <c:pt idx="5">
                  <c:v>9.9199999999999999E-5</c:v>
                </c:pt>
              </c:numCache>
            </c:numRef>
          </c:val>
          <c:extLst>
            <c:ext xmlns:c16="http://schemas.microsoft.com/office/drawing/2014/chart" uri="{C3380CC4-5D6E-409C-BE32-E72D297353CC}">
              <c16:uniqueId val="{00000000-CD0D-415B-8E99-BCAA252E1FA6}"/>
            </c:ext>
          </c:extLst>
        </c:ser>
        <c:ser>
          <c:idx val="1"/>
          <c:order val="1"/>
          <c:tx>
            <c:v>IEEE 519 Limits</c:v>
          </c:tx>
          <c:spPr>
            <a:gradFill>
              <a:gsLst>
                <a:gs pos="0">
                  <a:schemeClr val="accent2">
                    <a:tint val="50000"/>
                  </a:schemeClr>
                </a:gs>
                <a:gs pos="35000">
                  <a:schemeClr val="accent2">
                    <a:tint val="37000"/>
                  </a:schemeClr>
                </a:gs>
                <a:gs pos="100000">
                  <a:schemeClr val="accent2">
                    <a:tint val="15000"/>
                  </a:schemeClr>
                </a:gs>
              </a:gsLst>
              <a:lin ang="16200000" scaled="1"/>
              <a:tileRect/>
            </a:gradFill>
            <a:ln w="9525" cap="flat" cmpd="sng" algn="ctr">
              <a:solidFill>
                <a:schemeClr val="accent2">
                  <a:shade val="95000"/>
                </a:schemeClr>
              </a:solidFill>
              <a:round/>
            </a:ln>
            <a:effectLst/>
          </c:spPr>
          <c:invertIfNegative val="0"/>
          <c:dLbls>
            <c:dLbl>
              <c:idx val="0"/>
              <c:tx>
                <c:rich>
                  <a:bodyPr/>
                  <a:lstStyle/>
                  <a:p>
                    <a:fld id="{0E9E2004-46A6-4C17-8980-ACD1E80D05CA}" type="CELLRANGE">
                      <a:rPr lang="en-US"/>
                      <a:pPr/>
                      <a:t>[CELLRANGE]</a:t>
                    </a:fld>
                    <a:r>
                      <a:rPr lang="en-US" baseline="0"/>
                      <a:t>, </a:t>
                    </a:r>
                    <a:fld id="{C54A8F0E-2166-44E2-9ABF-908158DE3EE6}" type="CATEGORYNAME">
                      <a:rPr lang="en-US" baseline="0"/>
                      <a:pPr/>
                      <a:t>[CATEGORY NAME]</a:t>
                    </a:fld>
                    <a:r>
                      <a:rPr lang="en-US" baseline="0"/>
                      <a:t>, </a:t>
                    </a:r>
                    <a:fld id="{E15CEFD9-991B-43FD-A558-63F91D1E1BDD}"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D0D-415B-8E99-BCAA252E1FA6}"/>
                </c:ext>
              </c:extLst>
            </c:dLbl>
            <c:dLbl>
              <c:idx val="1"/>
              <c:tx>
                <c:rich>
                  <a:bodyPr/>
                  <a:lstStyle/>
                  <a:p>
                    <a:fld id="{5F0158DD-EFC0-4EFB-9D3F-F235B35630A7}" type="CELLRANGE">
                      <a:rPr lang="en-US"/>
                      <a:pPr/>
                      <a:t>[CELLRANGE]</a:t>
                    </a:fld>
                    <a:r>
                      <a:rPr lang="en-US" baseline="0"/>
                      <a:t>, </a:t>
                    </a:r>
                    <a:fld id="{EE5E8AAB-F257-4407-9312-B7CC814253C6}" type="CATEGORYNAME">
                      <a:rPr lang="en-US" baseline="0"/>
                      <a:pPr/>
                      <a:t>[CATEGORY NAME]</a:t>
                    </a:fld>
                    <a:r>
                      <a:rPr lang="en-US" baseline="0"/>
                      <a:t>, </a:t>
                    </a:r>
                    <a:fld id="{97DC1AA9-338A-41F2-9169-FDA54CCE643C}"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D0D-415B-8E99-BCAA252E1FA6}"/>
                </c:ext>
              </c:extLst>
            </c:dLbl>
            <c:dLbl>
              <c:idx val="2"/>
              <c:tx>
                <c:rich>
                  <a:bodyPr/>
                  <a:lstStyle/>
                  <a:p>
                    <a:fld id="{E0537D97-0217-4A0D-8D27-6D547327F47F}" type="CELLRANGE">
                      <a:rPr lang="en-US"/>
                      <a:pPr/>
                      <a:t>[CELLRANGE]</a:t>
                    </a:fld>
                    <a:r>
                      <a:rPr lang="en-US" baseline="0"/>
                      <a:t>, </a:t>
                    </a:r>
                    <a:fld id="{44812DAC-5765-4D1D-A38F-A982F33C72F4}" type="CATEGORYNAME">
                      <a:rPr lang="en-US" baseline="0"/>
                      <a:pPr/>
                      <a:t>[CATEGORY NAME]</a:t>
                    </a:fld>
                    <a:r>
                      <a:rPr lang="en-US" baseline="0"/>
                      <a:t>, </a:t>
                    </a:r>
                    <a:fld id="{2A917E4B-AB43-492F-9DCA-25DA7AADC32F}"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D0D-415B-8E99-BCAA252E1FA6}"/>
                </c:ext>
              </c:extLst>
            </c:dLbl>
            <c:dLbl>
              <c:idx val="3"/>
              <c:tx>
                <c:rich>
                  <a:bodyPr/>
                  <a:lstStyle/>
                  <a:p>
                    <a:fld id="{B3CFF57B-4CF3-478A-B3A8-97DA5D3CA988}" type="CELLRANGE">
                      <a:rPr lang="en-US"/>
                      <a:pPr/>
                      <a:t>[CELLRANGE]</a:t>
                    </a:fld>
                    <a:r>
                      <a:rPr lang="en-US" baseline="0"/>
                      <a:t>, </a:t>
                    </a:r>
                    <a:fld id="{1B352BF8-4840-441F-A5F6-7356F51CBA13}" type="CATEGORYNAME">
                      <a:rPr lang="en-US" baseline="0"/>
                      <a:pPr/>
                      <a:t>[CATEGORY NAME]</a:t>
                    </a:fld>
                    <a:r>
                      <a:rPr lang="en-US" baseline="0"/>
                      <a:t>, </a:t>
                    </a:r>
                    <a:fld id="{8DBF670B-DCF1-4026-94EC-0EA44DE4B726}"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D0D-415B-8E99-BCAA252E1FA6}"/>
                </c:ext>
              </c:extLst>
            </c:dLbl>
            <c:dLbl>
              <c:idx val="4"/>
              <c:tx>
                <c:rich>
                  <a:bodyPr/>
                  <a:lstStyle/>
                  <a:p>
                    <a:fld id="{AF5E7484-90AA-411E-9115-2E030FEE768E}" type="CELLRANGE">
                      <a:rPr lang="en-US"/>
                      <a:pPr/>
                      <a:t>[CELLRANGE]</a:t>
                    </a:fld>
                    <a:r>
                      <a:rPr lang="en-US" baseline="0"/>
                      <a:t>, </a:t>
                    </a:r>
                    <a:fld id="{A1B00A10-7A1A-48C7-BBE0-67C2A850C0F4}" type="CATEGORYNAME">
                      <a:rPr lang="en-US" baseline="0"/>
                      <a:pPr/>
                      <a:t>[CATEGORY NAME]</a:t>
                    </a:fld>
                    <a:r>
                      <a:rPr lang="en-US" baseline="0"/>
                      <a:t>, </a:t>
                    </a:r>
                    <a:fld id="{3E6BCF57-1670-481E-94EC-CB7F7EF82C00}"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CD0D-415B-8E99-BCAA252E1FA6}"/>
                </c:ext>
              </c:extLst>
            </c:dLbl>
            <c:dLbl>
              <c:idx val="5"/>
              <c:tx>
                <c:rich>
                  <a:bodyPr/>
                  <a:lstStyle/>
                  <a:p>
                    <a:fld id="{55FC3C71-395A-457E-A10B-302CFB1C9FBB}" type="CELLRANGE">
                      <a:rPr lang="en-US"/>
                      <a:pPr/>
                      <a:t>[CELLRANGE]</a:t>
                    </a:fld>
                    <a:r>
                      <a:rPr lang="en-US" baseline="0"/>
                      <a:t>, </a:t>
                    </a:r>
                    <a:fld id="{323EA702-EE7A-40E0-800B-6BC98E9C5502}" type="CATEGORYNAME">
                      <a:rPr lang="en-US" baseline="0"/>
                      <a:pPr/>
                      <a:t>[CATEGORY NAME]</a:t>
                    </a:fld>
                    <a:r>
                      <a:rPr lang="en-US" baseline="0"/>
                      <a:t>, </a:t>
                    </a:r>
                    <a:fld id="{A4907FD3-3310-4894-BEC5-920ED2EEC3D8}"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D0D-415B-8E99-BCAA252E1FA6}"/>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rgbClr val="C0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val>
            <c:numRef>
              <c:f>'Power Quality'!$G$10:$G$15</c:f>
              <c:numCache>
                <c:formatCode>0.00%</c:formatCode>
                <c:ptCount val="6"/>
                <c:pt idx="0">
                  <c:v>5.0000000000000001E-3</c:v>
                </c:pt>
                <c:pt idx="1">
                  <c:v>0.01</c:v>
                </c:pt>
                <c:pt idx="2">
                  <c:v>5.0000000000000001E-3</c:v>
                </c:pt>
                <c:pt idx="3">
                  <c:v>3.8E-3</c:v>
                </c:pt>
                <c:pt idx="4">
                  <c:v>1.5E-3</c:v>
                </c:pt>
                <c:pt idx="5">
                  <c:v>1E-3</c:v>
                </c:pt>
              </c:numCache>
            </c:numRef>
          </c:val>
          <c:extLst>
            <c:ext xmlns:c15="http://schemas.microsoft.com/office/drawing/2012/chart" uri="{02D57815-91ED-43cb-92C2-25804820EDAC}">
              <c15:datalabelsRange>
                <c15:f>'Power Quality'!$D$10:$D$15</c15:f>
                <c15:dlblRangeCache>
                  <c:ptCount val="6"/>
                  <c:pt idx="0">
                    <c:v>h = 2,4,6</c:v>
                  </c:pt>
                  <c:pt idx="1">
                    <c:v>2&lt; h &lt;11 (except for 2,4,6)</c:v>
                  </c:pt>
                  <c:pt idx="2">
                    <c:v>11≤h&lt;17</c:v>
                  </c:pt>
                  <c:pt idx="3">
                    <c:v>17≤h&lt;23</c:v>
                  </c:pt>
                  <c:pt idx="4">
                    <c:v>23≤h&lt;35</c:v>
                  </c:pt>
                  <c:pt idx="5">
                    <c:v>35≤h&lt;50</c:v>
                  </c:pt>
                </c15:dlblRangeCache>
              </c15:datalabelsRange>
            </c:ext>
            <c:ext xmlns:c16="http://schemas.microsoft.com/office/drawing/2014/chart" uri="{C3380CC4-5D6E-409C-BE32-E72D297353CC}">
              <c16:uniqueId val="{00000001-CD0D-415B-8E99-BCAA252E1FA6}"/>
            </c:ext>
          </c:extLst>
        </c:ser>
        <c:dLbls>
          <c:showLegendKey val="0"/>
          <c:showVal val="0"/>
          <c:showCatName val="0"/>
          <c:showSerName val="0"/>
          <c:showPercent val="0"/>
          <c:showBubbleSize val="0"/>
        </c:dLbls>
        <c:gapWidth val="100"/>
        <c:overlap val="-24"/>
        <c:axId val="449229344"/>
        <c:axId val="449234144"/>
      </c:barChart>
      <c:catAx>
        <c:axId val="44922934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49234144"/>
        <c:crosses val="autoZero"/>
        <c:auto val="1"/>
        <c:lblAlgn val="ctr"/>
        <c:lblOffset val="100"/>
        <c:noMultiLvlLbl val="0"/>
      </c:catAx>
      <c:valAx>
        <c:axId val="4492341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lumMod val="50000"/>
                    <a:lumOff val="50000"/>
                  </a:schemeClr>
                </a:solidFill>
                <a:latin typeface="+mn-lt"/>
                <a:ea typeface="+mn-ea"/>
                <a:cs typeface="+mn-cs"/>
              </a:defRPr>
            </a:pPr>
            <a:endParaRPr lang="en-US"/>
          </a:p>
        </c:txPr>
        <c:crossAx val="449229344"/>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1600" b="0" i="0" u="none" strike="noStrike" kern="1200" baseline="0">
                <a:solidFill>
                  <a:schemeClr val="tx1">
                    <a:lumMod val="50000"/>
                    <a:lumOff val="50000"/>
                  </a:schemeClr>
                </a:solidFill>
                <a:latin typeface="+mn-lt"/>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120</xdr:col>
      <xdr:colOff>114300</xdr:colOff>
      <xdr:row>0</xdr:row>
      <xdr:rowOff>-2362200</xdr:rowOff>
    </xdr:from>
    <xdr:to>
      <xdr:col>120</xdr:col>
      <xdr:colOff>114300</xdr:colOff>
      <xdr:row>0</xdr:row>
      <xdr:rowOff>-2362200</xdr:rowOff>
    </xdr:to>
    <xdr:graphicFrame macro="">
      <xdr:nvGraphicFramePr>
        <xdr:cNvPr id="3" name="Chart 2">
          <a:extLst>
            <a:ext uri="{FF2B5EF4-FFF2-40B4-BE49-F238E27FC236}">
              <a16:creationId xmlns:a16="http://schemas.microsoft.com/office/drawing/2014/main" id="{CAD2A443-5767-40C5-8695-49A1A4011B26}"/>
            </a:ext>
            <a:ext uri="{147F2762-F138-4A5C-976F-8EAC2B608ADB}">
              <a16:predDERef xmlns:a16="http://schemas.microsoft.com/office/drawing/2014/main" pred="{DCBC7B15-2780-4EFC-9FC7-871931C2EE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429846</xdr:colOff>
      <xdr:row>117</xdr:row>
      <xdr:rowOff>10444</xdr:rowOff>
    </xdr:from>
    <xdr:to>
      <xdr:col>34</xdr:col>
      <xdr:colOff>242498</xdr:colOff>
      <xdr:row>177</xdr:row>
      <xdr:rowOff>158750</xdr:rowOff>
    </xdr:to>
    <xdr:graphicFrame macro="">
      <xdr:nvGraphicFramePr>
        <xdr:cNvPr id="2" name="Chart 1">
          <a:extLst>
            <a:ext uri="{FF2B5EF4-FFF2-40B4-BE49-F238E27FC236}">
              <a16:creationId xmlns:a16="http://schemas.microsoft.com/office/drawing/2014/main" id="{D14CF372-92E8-481A-BD16-79327BDFD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63</xdr:col>
      <xdr:colOff>93456</xdr:colOff>
      <xdr:row>116</xdr:row>
      <xdr:rowOff>64447</xdr:rowOff>
    </xdr:from>
    <xdr:to>
      <xdr:col>89</xdr:col>
      <xdr:colOff>259772</xdr:colOff>
      <xdr:row>182</xdr:row>
      <xdr:rowOff>57728</xdr:rowOff>
    </xdr:to>
    <xdr:graphicFrame macro="">
      <xdr:nvGraphicFramePr>
        <xdr:cNvPr id="3" name="Chart 2">
          <a:extLst>
            <a:ext uri="{FF2B5EF4-FFF2-40B4-BE49-F238E27FC236}">
              <a16:creationId xmlns:a16="http://schemas.microsoft.com/office/drawing/2014/main" id="{92BC3663-DCFA-42CB-B2F3-D4BA1C0E3767}"/>
            </a:ext>
            <a:ext uri="{147F2762-F138-4A5C-976F-8EAC2B608ADB}">
              <a16:predDERef xmlns:a16="http://schemas.microsoft.com/office/drawing/2014/main" pred="{D14CF372-92E8-481A-BD16-79327BDFD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311451</xdr:colOff>
      <xdr:row>117</xdr:row>
      <xdr:rowOff>1189</xdr:rowOff>
    </xdr:from>
    <xdr:to>
      <xdr:col>62</xdr:col>
      <xdr:colOff>461818</xdr:colOff>
      <xdr:row>182</xdr:row>
      <xdr:rowOff>86591</xdr:rowOff>
    </xdr:to>
    <xdr:graphicFrame macro="">
      <xdr:nvGraphicFramePr>
        <xdr:cNvPr id="4" name="Chart 3">
          <a:extLst>
            <a:ext uri="{FF2B5EF4-FFF2-40B4-BE49-F238E27FC236}">
              <a16:creationId xmlns:a16="http://schemas.microsoft.com/office/drawing/2014/main" id="{82F53A94-B005-4A7E-99CF-672D0928DEDC}"/>
            </a:ext>
            <a:ext uri="{147F2762-F138-4A5C-976F-8EAC2B608ADB}">
              <a16:predDERef xmlns:a16="http://schemas.microsoft.com/office/drawing/2014/main" pred="{92BC3663-DCFA-42CB-B2F3-D4BA1C0E3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353749</xdr:colOff>
      <xdr:row>4</xdr:row>
      <xdr:rowOff>41933</xdr:rowOff>
    </xdr:from>
    <xdr:to>
      <xdr:col>34</xdr:col>
      <xdr:colOff>115083</xdr:colOff>
      <xdr:row>60</xdr:row>
      <xdr:rowOff>102419</xdr:rowOff>
    </xdr:to>
    <xdr:graphicFrame macro="">
      <xdr:nvGraphicFramePr>
        <xdr:cNvPr id="6" name="Chart 5">
          <a:extLst>
            <a:ext uri="{FF2B5EF4-FFF2-40B4-BE49-F238E27FC236}">
              <a16:creationId xmlns:a16="http://schemas.microsoft.com/office/drawing/2014/main" id="{F6E468A3-2FD3-4F60-AAE5-57468DDD3C7A}"/>
            </a:ext>
            <a:ext uri="{147F2762-F138-4A5C-976F-8EAC2B608ADB}">
              <a16:predDERef xmlns:a16="http://schemas.microsoft.com/office/drawing/2014/main" pred="{82F53A94-B005-4A7E-99CF-672D0928D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62</xdr:col>
      <xdr:colOff>297070</xdr:colOff>
      <xdr:row>2</xdr:row>
      <xdr:rowOff>58584</xdr:rowOff>
    </xdr:from>
    <xdr:to>
      <xdr:col>83</xdr:col>
      <xdr:colOff>572294</xdr:colOff>
      <xdr:row>59</xdr:row>
      <xdr:rowOff>124691</xdr:rowOff>
    </xdr:to>
    <xdr:graphicFrame macro="">
      <xdr:nvGraphicFramePr>
        <xdr:cNvPr id="5" name="Chart 4">
          <a:extLst>
            <a:ext uri="{FF2B5EF4-FFF2-40B4-BE49-F238E27FC236}">
              <a16:creationId xmlns:a16="http://schemas.microsoft.com/office/drawing/2014/main" id="{71D72C41-21E0-4250-B954-AA3FBB502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259193</xdr:colOff>
      <xdr:row>1</xdr:row>
      <xdr:rowOff>143387</xdr:rowOff>
    </xdr:from>
    <xdr:to>
      <xdr:col>62</xdr:col>
      <xdr:colOff>121973</xdr:colOff>
      <xdr:row>59</xdr:row>
      <xdr:rowOff>28864</xdr:rowOff>
    </xdr:to>
    <xdr:graphicFrame macro="">
      <xdr:nvGraphicFramePr>
        <xdr:cNvPr id="7" name="Chart 6">
          <a:extLst>
            <a:ext uri="{FF2B5EF4-FFF2-40B4-BE49-F238E27FC236}">
              <a16:creationId xmlns:a16="http://schemas.microsoft.com/office/drawing/2014/main" id="{46371919-AFCD-4279-8D12-B45B8530BFD4}"/>
            </a:ext>
            <a:ext uri="{147F2762-F138-4A5C-976F-8EAC2B608ADB}">
              <a16:predDERef xmlns:a16="http://schemas.microsoft.com/office/drawing/2014/main" pred="{71D72C41-21E0-4250-B954-AA3FBB502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84</xdr:col>
      <xdr:colOff>66675</xdr:colOff>
      <xdr:row>1</xdr:row>
      <xdr:rowOff>58584</xdr:rowOff>
    </xdr:from>
    <xdr:to>
      <xdr:col>109</xdr:col>
      <xdr:colOff>419100</xdr:colOff>
      <xdr:row>61</xdr:row>
      <xdr:rowOff>66675</xdr:rowOff>
    </xdr:to>
    <xdr:graphicFrame macro="">
      <xdr:nvGraphicFramePr>
        <xdr:cNvPr id="8" name="Chart 7">
          <a:extLst>
            <a:ext uri="{FF2B5EF4-FFF2-40B4-BE49-F238E27FC236}">
              <a16:creationId xmlns:a16="http://schemas.microsoft.com/office/drawing/2014/main" id="{52CC42CC-18D3-4DFC-9998-0E94A4957524}"/>
            </a:ext>
            <a:ext uri="{147F2762-F138-4A5C-976F-8EAC2B608ADB}">
              <a16:predDERef xmlns:a16="http://schemas.microsoft.com/office/drawing/2014/main" pred="{46371919-AFCD-4279-8D12-B45B8530B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90</xdr:col>
      <xdr:colOff>0</xdr:colOff>
      <xdr:row>117</xdr:row>
      <xdr:rowOff>16684</xdr:rowOff>
    </xdr:from>
    <xdr:to>
      <xdr:col>116</xdr:col>
      <xdr:colOff>529937</xdr:colOff>
      <xdr:row>183</xdr:row>
      <xdr:rowOff>144318</xdr:rowOff>
    </xdr:to>
    <xdr:graphicFrame macro="">
      <xdr:nvGraphicFramePr>
        <xdr:cNvPr id="9" name="Chart 8">
          <a:extLst>
            <a:ext uri="{FF2B5EF4-FFF2-40B4-BE49-F238E27FC236}">
              <a16:creationId xmlns:a16="http://schemas.microsoft.com/office/drawing/2014/main" id="{DD05FEB4-5F59-4BB3-9B64-9220BD262B96}"/>
            </a:ext>
            <a:ext uri="{147F2762-F138-4A5C-976F-8EAC2B608ADB}">
              <a16:predDERef xmlns:a16="http://schemas.microsoft.com/office/drawing/2014/main" pred="{52CC42CC-18D3-4DFC-9998-0E94A4957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109</xdr:col>
      <xdr:colOff>247650</xdr:colOff>
      <xdr:row>0</xdr:row>
      <xdr:rowOff>142875</xdr:rowOff>
    </xdr:from>
    <xdr:to>
      <xdr:col>137</xdr:col>
      <xdr:colOff>28575</xdr:colOff>
      <xdr:row>61</xdr:row>
      <xdr:rowOff>38100</xdr:rowOff>
    </xdr:to>
    <xdr:graphicFrame macro="">
      <xdr:nvGraphicFramePr>
        <xdr:cNvPr id="11" name="Chart 10">
          <a:extLst>
            <a:ext uri="{FF2B5EF4-FFF2-40B4-BE49-F238E27FC236}">
              <a16:creationId xmlns:a16="http://schemas.microsoft.com/office/drawing/2014/main" id="{184284B5-59D3-4DD2-BE42-D0317FB98A33}"/>
            </a:ext>
            <a:ext uri="{147F2762-F138-4A5C-976F-8EAC2B608ADB}">
              <a16:predDERef xmlns:a16="http://schemas.microsoft.com/office/drawing/2014/main" pred="{DD05FEB4-5F59-4BB3-9B64-9220BD262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137</xdr:col>
      <xdr:colOff>482600</xdr:colOff>
      <xdr:row>1</xdr:row>
      <xdr:rowOff>76200</xdr:rowOff>
    </xdr:from>
    <xdr:to>
      <xdr:col>163</xdr:col>
      <xdr:colOff>50800</xdr:colOff>
      <xdr:row>61</xdr:row>
      <xdr:rowOff>101600</xdr:rowOff>
    </xdr:to>
    <xdr:graphicFrame macro="">
      <xdr:nvGraphicFramePr>
        <xdr:cNvPr id="13" name="Chart 12">
          <a:extLst>
            <a:ext uri="{FF2B5EF4-FFF2-40B4-BE49-F238E27FC236}">
              <a16:creationId xmlns:a16="http://schemas.microsoft.com/office/drawing/2014/main" id="{82C05623-EA09-4DB4-B900-89976FAD1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119</xdr:col>
      <xdr:colOff>190500</xdr:colOff>
      <xdr:row>117</xdr:row>
      <xdr:rowOff>76200</xdr:rowOff>
    </xdr:from>
    <xdr:to>
      <xdr:col>151</xdr:col>
      <xdr:colOff>342900</xdr:colOff>
      <xdr:row>181</xdr:row>
      <xdr:rowOff>152400</xdr:rowOff>
    </xdr:to>
    <xdr:graphicFrame macro="">
      <xdr:nvGraphicFramePr>
        <xdr:cNvPr id="12" name="Chart 11">
          <a:extLst>
            <a:ext uri="{FF2B5EF4-FFF2-40B4-BE49-F238E27FC236}">
              <a16:creationId xmlns:a16="http://schemas.microsoft.com/office/drawing/2014/main" id="{B9E87FC9-1765-44ED-82A8-C0F25038F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34"/>
  <sheetViews>
    <sheetView showGridLines="0" zoomScale="98" zoomScaleNormal="98" workbookViewId="0">
      <selection activeCell="F13" sqref="F13:G13"/>
    </sheetView>
  </sheetViews>
  <sheetFormatPr defaultColWidth="8.6328125" defaultRowHeight="14.5" x14ac:dyDescent="0.35"/>
  <cols>
    <col min="1" max="1" width="3" customWidth="1"/>
    <col min="2" max="2" width="33" customWidth="1"/>
    <col min="3" max="4" width="15" customWidth="1"/>
    <col min="5" max="5" width="26.36328125" customWidth="1"/>
    <col min="6" max="7" width="15" customWidth="1"/>
    <col min="8" max="8" width="3" customWidth="1"/>
  </cols>
  <sheetData>
    <row r="1" spans="1:8" ht="15" customHeight="1" x14ac:dyDescent="0.35">
      <c r="A1" s="1"/>
      <c r="B1" s="1"/>
      <c r="C1" s="1"/>
      <c r="D1" s="1"/>
      <c r="E1" s="1"/>
      <c r="F1" s="1"/>
      <c r="G1" s="1"/>
      <c r="H1" s="1"/>
    </row>
    <row r="2" spans="1:8" ht="19.5" customHeight="1" x14ac:dyDescent="0.35">
      <c r="A2" s="1"/>
      <c r="B2" s="1"/>
      <c r="C2" s="1"/>
      <c r="D2" s="1"/>
      <c r="E2" s="1"/>
      <c r="F2" s="1"/>
      <c r="G2" s="1"/>
      <c r="H2" s="1"/>
    </row>
    <row r="3" spans="1:8" ht="19.5" customHeight="1" x14ac:dyDescent="0.35">
      <c r="A3" s="1"/>
      <c r="B3" s="167" t="s">
        <v>0</v>
      </c>
      <c r="C3" s="167"/>
      <c r="D3" s="167"/>
      <c r="E3" s="167"/>
      <c r="F3" s="167"/>
      <c r="G3" s="167"/>
      <c r="H3" s="1"/>
    </row>
    <row r="4" spans="1:8" ht="19.5" customHeight="1" x14ac:dyDescent="0.35">
      <c r="A4" s="1"/>
      <c r="B4" s="168" t="s">
        <v>1</v>
      </c>
      <c r="C4" s="168"/>
      <c r="D4" s="168"/>
      <c r="E4" s="168"/>
      <c r="F4" s="168"/>
      <c r="G4" s="168"/>
      <c r="H4" s="1"/>
    </row>
    <row r="5" spans="1:8" ht="60" customHeight="1" x14ac:dyDescent="0.35">
      <c r="A5" s="1"/>
      <c r="B5" s="169" t="s">
        <v>2</v>
      </c>
      <c r="C5" s="169"/>
      <c r="D5" s="169"/>
      <c r="E5" s="169"/>
      <c r="F5" s="169"/>
      <c r="G5" s="169"/>
      <c r="H5" s="1"/>
    </row>
    <row r="6" spans="1:8" ht="19.5" customHeight="1" x14ac:dyDescent="0.35">
      <c r="A6" s="1"/>
      <c r="B6" s="1"/>
      <c r="C6" s="1"/>
      <c r="D6" s="1"/>
      <c r="E6" s="1"/>
      <c r="F6" s="1"/>
      <c r="G6" s="1"/>
      <c r="H6" s="1"/>
    </row>
    <row r="7" spans="1:8" ht="19.5" customHeight="1" x14ac:dyDescent="0.35">
      <c r="A7" s="1"/>
      <c r="B7" s="2"/>
      <c r="C7" s="2"/>
      <c r="D7" s="2"/>
      <c r="E7" s="2"/>
      <c r="F7" s="2"/>
      <c r="G7" s="2"/>
      <c r="H7" s="1"/>
    </row>
    <row r="8" spans="1:8" ht="19.5" customHeight="1" x14ac:dyDescent="0.35"/>
    <row r="9" spans="1:8" ht="19.5" customHeight="1" x14ac:dyDescent="0.35">
      <c r="B9" s="170" t="s">
        <v>3</v>
      </c>
      <c r="C9" s="170"/>
      <c r="D9" s="170"/>
      <c r="E9" s="170" t="s">
        <v>4</v>
      </c>
      <c r="F9" s="170"/>
      <c r="G9" s="170"/>
    </row>
    <row r="10" spans="1:8" ht="21.75" customHeight="1" x14ac:dyDescent="0.35">
      <c r="B10" s="3" t="s">
        <v>5</v>
      </c>
      <c r="C10" s="171" t="s">
        <v>6</v>
      </c>
      <c r="D10" s="171"/>
      <c r="E10" s="3" t="s">
        <v>7</v>
      </c>
      <c r="F10" s="171" t="s">
        <v>8</v>
      </c>
      <c r="G10" s="171"/>
    </row>
    <row r="11" spans="1:8" ht="21.75" customHeight="1" x14ac:dyDescent="0.35">
      <c r="B11" s="3" t="s">
        <v>9</v>
      </c>
      <c r="C11" s="171" t="s">
        <v>10</v>
      </c>
      <c r="D11" s="171"/>
      <c r="E11" s="3" t="s">
        <v>11</v>
      </c>
      <c r="F11" s="171" t="s">
        <v>12</v>
      </c>
      <c r="G11" s="171"/>
    </row>
    <row r="12" spans="1:8" ht="21.75" customHeight="1" x14ac:dyDescent="0.35">
      <c r="B12" s="3" t="s">
        <v>13</v>
      </c>
      <c r="C12" s="171" t="s">
        <v>14</v>
      </c>
      <c r="D12" s="171"/>
      <c r="E12" s="3" t="s">
        <v>15</v>
      </c>
      <c r="F12" s="171" t="s">
        <v>16</v>
      </c>
      <c r="G12" s="171"/>
    </row>
    <row r="13" spans="1:8" ht="21.75" customHeight="1" x14ac:dyDescent="0.35">
      <c r="B13" s="3" t="s">
        <v>17</v>
      </c>
      <c r="C13" s="171" t="s">
        <v>18</v>
      </c>
      <c r="D13" s="171"/>
      <c r="E13" s="3" t="s">
        <v>19</v>
      </c>
      <c r="F13" s="171" t="s">
        <v>20</v>
      </c>
      <c r="G13" s="171"/>
    </row>
    <row r="14" spans="1:8" ht="21.75" customHeight="1" x14ac:dyDescent="0.35">
      <c r="B14" s="3" t="s">
        <v>21</v>
      </c>
      <c r="C14" s="171" t="s">
        <v>22</v>
      </c>
      <c r="D14" s="171"/>
      <c r="E14" s="3" t="s">
        <v>23</v>
      </c>
      <c r="F14" s="171" t="s">
        <v>24</v>
      </c>
      <c r="G14" s="171"/>
    </row>
    <row r="15" spans="1:8" ht="21.75" customHeight="1" x14ac:dyDescent="0.35">
      <c r="B15" s="3" t="s">
        <v>25</v>
      </c>
      <c r="C15" s="171" t="s">
        <v>26</v>
      </c>
      <c r="D15" s="171"/>
      <c r="E15" s="3" t="s">
        <v>27</v>
      </c>
      <c r="F15" s="171" t="s">
        <v>28</v>
      </c>
      <c r="G15" s="171"/>
    </row>
    <row r="16" spans="1:8" ht="21.75" customHeight="1" x14ac:dyDescent="0.35">
      <c r="B16" s="3" t="s">
        <v>29</v>
      </c>
      <c r="C16" s="171" t="s">
        <v>30</v>
      </c>
      <c r="D16" s="171"/>
      <c r="E16" s="3" t="s">
        <v>31</v>
      </c>
      <c r="F16" s="171" t="s">
        <v>32</v>
      </c>
      <c r="G16" s="171"/>
    </row>
    <row r="17" spans="2:7" ht="21.75" customHeight="1" x14ac:dyDescent="0.35">
      <c r="B17" s="3" t="s">
        <v>33</v>
      </c>
      <c r="C17" s="171" t="s">
        <v>34</v>
      </c>
      <c r="D17" s="171"/>
      <c r="E17" s="3" t="s">
        <v>35</v>
      </c>
      <c r="F17" s="171" t="s">
        <v>36</v>
      </c>
      <c r="G17" s="171"/>
    </row>
    <row r="18" spans="2:7" ht="19.5" customHeight="1" x14ac:dyDescent="0.35"/>
    <row r="19" spans="2:7" ht="19.5" customHeight="1" x14ac:dyDescent="0.35"/>
    <row r="20" spans="2:7" ht="7.5" customHeight="1" x14ac:dyDescent="0.35"/>
    <row r="21" spans="2:7" ht="19.5" customHeight="1" x14ac:dyDescent="0.35">
      <c r="B21" s="170" t="s">
        <v>37</v>
      </c>
      <c r="C21" s="170"/>
      <c r="D21" s="170"/>
      <c r="E21" s="170"/>
      <c r="F21" s="170"/>
      <c r="G21" s="170"/>
    </row>
    <row r="22" spans="2:7" ht="7.5" customHeight="1" x14ac:dyDescent="0.35"/>
    <row r="23" spans="2:7" ht="19.5" customHeight="1" x14ac:dyDescent="0.35">
      <c r="B23" s="4"/>
      <c r="C23" s="172" t="s">
        <v>38</v>
      </c>
      <c r="D23" s="172"/>
      <c r="E23" s="173" t="s">
        <v>39</v>
      </c>
      <c r="F23" s="173"/>
      <c r="G23" s="173"/>
    </row>
    <row r="24" spans="2:7" ht="19.5" customHeight="1" x14ac:dyDescent="0.35">
      <c r="B24" s="5"/>
      <c r="C24" s="174" t="s">
        <v>40</v>
      </c>
      <c r="D24" s="174"/>
      <c r="E24" s="173" t="s">
        <v>41</v>
      </c>
      <c r="F24" s="173"/>
      <c r="G24" s="173"/>
    </row>
    <row r="25" spans="2:7" ht="19.5" customHeight="1" x14ac:dyDescent="0.35">
      <c r="B25" s="6"/>
      <c r="C25" s="175" t="s">
        <v>42</v>
      </c>
      <c r="D25" s="175"/>
      <c r="E25" s="173" t="s">
        <v>43</v>
      </c>
      <c r="F25" s="173"/>
      <c r="G25" s="173"/>
    </row>
    <row r="26" spans="2:7" ht="19.5" customHeight="1" x14ac:dyDescent="0.35">
      <c r="B26" s="7"/>
      <c r="C26" s="176" t="s">
        <v>44</v>
      </c>
      <c r="D26" s="176"/>
      <c r="E26" s="173" t="s">
        <v>45</v>
      </c>
      <c r="F26" s="173"/>
      <c r="G26" s="173"/>
    </row>
    <row r="27" spans="2:7" ht="19.5" customHeight="1" x14ac:dyDescent="0.35">
      <c r="B27" s="8"/>
      <c r="C27" s="177" t="s">
        <v>46</v>
      </c>
      <c r="D27" s="177"/>
      <c r="E27" s="173" t="s">
        <v>47</v>
      </c>
      <c r="F27" s="173"/>
      <c r="G27" s="173"/>
    </row>
    <row r="28" spans="2:7" ht="19.5" customHeight="1" x14ac:dyDescent="0.35"/>
    <row r="29" spans="2:7" ht="15.75" customHeight="1" x14ac:dyDescent="0.35">
      <c r="B29" s="178" t="s">
        <v>48</v>
      </c>
      <c r="C29" s="178"/>
      <c r="D29" s="178"/>
      <c r="E29" s="178"/>
      <c r="F29" s="178"/>
      <c r="G29" s="178"/>
    </row>
    <row r="30" spans="2:7" ht="19.5" customHeight="1" x14ac:dyDescent="0.35"/>
    <row r="31" spans="2:7" ht="19.5" customHeight="1" x14ac:dyDescent="0.35"/>
    <row r="32" spans="2:7" ht="19.5" customHeight="1" x14ac:dyDescent="0.35"/>
    <row r="33" ht="19.5" customHeight="1" x14ac:dyDescent="0.35"/>
    <row r="34" ht="19.5" customHeight="1" x14ac:dyDescent="0.35"/>
  </sheetData>
  <sheetProtection password="9464" sheet="1"/>
  <mergeCells count="33">
    <mergeCell ref="C26:D26"/>
    <mergeCell ref="E26:G26"/>
    <mergeCell ref="C27:D27"/>
    <mergeCell ref="E27:G27"/>
    <mergeCell ref="B29:G29"/>
    <mergeCell ref="C23:D23"/>
    <mergeCell ref="E23:G23"/>
    <mergeCell ref="C24:D24"/>
    <mergeCell ref="E24:G24"/>
    <mergeCell ref="C25:D25"/>
    <mergeCell ref="E25:G25"/>
    <mergeCell ref="C16:D16"/>
    <mergeCell ref="F16:G16"/>
    <mergeCell ref="C17:D17"/>
    <mergeCell ref="F17:G17"/>
    <mergeCell ref="B21:G21"/>
    <mergeCell ref="C13:D13"/>
    <mergeCell ref="F13:G13"/>
    <mergeCell ref="C14:D14"/>
    <mergeCell ref="F14:G14"/>
    <mergeCell ref="C15:D15"/>
    <mergeCell ref="F15:G15"/>
    <mergeCell ref="C10:D10"/>
    <mergeCell ref="F10:G10"/>
    <mergeCell ref="C11:D11"/>
    <mergeCell ref="F11:G11"/>
    <mergeCell ref="C12:D12"/>
    <mergeCell ref="F12:G12"/>
    <mergeCell ref="B3:G3"/>
    <mergeCell ref="B4:G4"/>
    <mergeCell ref="B5:G5"/>
    <mergeCell ref="B9:D9"/>
    <mergeCell ref="E9:G9"/>
  </mergeCells>
  <dataValidations count="2">
    <dataValidation type="list" allowBlank="1" showInputMessage="1" showErrorMessage="1" errorTitle="Invalid entry" error="Allowed: Solar PV (IBR) – without BESS, Wind (IBR) – without BESS, Hybrid – Solar + Wind, Solar PV (IBR) – with BESS, Wind (IBR) – with BESS" promptTitle="Valid options" prompt="Select the RE plant type" sqref="C15" xr:uid="{00000000-0002-0000-0000-000000000000}">
      <formula1>"Solar PV (IBR) – without BESS,Wind (IBR) – without BESS,Hybrid – Solar + Wind,Solar PV (IBR) – with BESS,Wind (IBR) – with BESS"</formula1>
      <formula2>0</formula2>
    </dataValidation>
    <dataValidation type="list" allowBlank="1" showInputMessage="1" showErrorMessage="1" errorTitle="Invalid entry" error="Allowed: 400 kV, 220 kV, 132 kV, 765 kV" promptTitle="Valid options" prompt="Select POI bus voltage level" sqref="C14" xr:uid="{00000000-0002-0000-0000-000001000000}">
      <formula1>"400 kV,220 kV,132 kV,765 kV"</formula1>
      <formula2>0</formula2>
    </dataValidation>
  </dataValidation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32"/>
  <sheetViews>
    <sheetView showGridLines="0" topLeftCell="A14" zoomScaleNormal="100" workbookViewId="0">
      <selection activeCell="I19" sqref="I19"/>
    </sheetView>
  </sheetViews>
  <sheetFormatPr defaultColWidth="8.6328125" defaultRowHeight="14.5" x14ac:dyDescent="0.35"/>
  <cols>
    <col min="1" max="1" width="3" customWidth="1"/>
    <col min="2" max="2" width="22" customWidth="1"/>
    <col min="3" max="4" width="13" customWidth="1"/>
    <col min="5" max="5" width="16" customWidth="1"/>
    <col min="6" max="6" width="14" customWidth="1"/>
    <col min="7" max="7" width="12" customWidth="1"/>
    <col min="8" max="8" width="18" customWidth="1"/>
    <col min="9" max="9" width="25" customWidth="1"/>
    <col min="10" max="10" width="3" customWidth="1"/>
  </cols>
  <sheetData>
    <row r="1" spans="1:10" x14ac:dyDescent="0.35">
      <c r="A1" s="1"/>
      <c r="B1" s="1"/>
      <c r="C1" s="1"/>
      <c r="D1" s="1"/>
      <c r="E1" s="1"/>
      <c r="F1" s="1"/>
      <c r="G1" s="1"/>
      <c r="H1" s="1"/>
      <c r="I1" s="1"/>
      <c r="J1" s="1"/>
    </row>
    <row r="2" spans="1:10" ht="23.25" customHeight="1" x14ac:dyDescent="0.35">
      <c r="A2" s="1"/>
      <c r="B2" s="179" t="s">
        <v>49</v>
      </c>
      <c r="C2" s="179"/>
      <c r="D2" s="179"/>
      <c r="E2" s="179"/>
      <c r="F2" s="179"/>
      <c r="G2" s="179"/>
      <c r="H2" s="179"/>
      <c r="I2" s="179"/>
      <c r="J2" s="1"/>
    </row>
    <row r="3" spans="1:10" x14ac:dyDescent="0.35">
      <c r="A3" s="1"/>
      <c r="B3" s="169" t="s">
        <v>50</v>
      </c>
      <c r="C3" s="169"/>
      <c r="D3" s="169"/>
      <c r="E3" s="169"/>
      <c r="F3" s="169"/>
      <c r="G3" s="169"/>
      <c r="H3" s="169"/>
      <c r="I3" s="169"/>
      <c r="J3" s="1"/>
    </row>
    <row r="4" spans="1:10" x14ac:dyDescent="0.35">
      <c r="A4" s="1"/>
      <c r="B4" s="1"/>
      <c r="C4" s="1"/>
      <c r="D4" s="1"/>
      <c r="E4" s="1"/>
      <c r="F4" s="1"/>
      <c r="G4" s="1"/>
      <c r="H4" s="1"/>
      <c r="I4" s="1"/>
      <c r="J4" s="1"/>
    </row>
    <row r="5" spans="1:10" x14ac:dyDescent="0.35">
      <c r="A5" s="1"/>
      <c r="B5" s="2"/>
      <c r="C5" s="2"/>
      <c r="D5" s="2"/>
      <c r="E5" s="2"/>
      <c r="F5" s="2"/>
      <c r="G5" s="2"/>
      <c r="H5" s="2"/>
      <c r="I5" s="2"/>
      <c r="J5" s="1"/>
    </row>
    <row r="7" spans="1:10" ht="7.5" customHeight="1" x14ac:dyDescent="0.35"/>
    <row r="8" spans="1:10" ht="15.75" customHeight="1" x14ac:dyDescent="0.35">
      <c r="B8" s="180" t="s">
        <v>51</v>
      </c>
      <c r="C8" s="180"/>
    </row>
    <row r="9" spans="1:10" ht="49.5" customHeight="1" x14ac:dyDescent="0.35">
      <c r="B9" s="181" t="s">
        <v>52</v>
      </c>
      <c r="C9" s="181"/>
      <c r="D9" s="182" t="s">
        <v>53</v>
      </c>
      <c r="E9" s="182"/>
      <c r="F9" s="181" t="s">
        <v>54</v>
      </c>
      <c r="G9" s="181"/>
      <c r="H9" s="181" t="s">
        <v>55</v>
      </c>
      <c r="I9" s="181"/>
    </row>
    <row r="10" spans="1:10" ht="30" customHeight="1" x14ac:dyDescent="0.35">
      <c r="B10" s="183" t="s">
        <v>56</v>
      </c>
      <c r="C10" s="183"/>
      <c r="D10" s="183" t="s">
        <v>57</v>
      </c>
      <c r="E10" s="183"/>
      <c r="F10" s="183" t="s">
        <v>56</v>
      </c>
      <c r="G10" s="183"/>
      <c r="H10" s="183" t="s">
        <v>56</v>
      </c>
      <c r="I10" s="183"/>
    </row>
    <row r="11" spans="1:10" ht="49.5" customHeight="1" x14ac:dyDescent="0.35">
      <c r="B11" s="181" t="s">
        <v>58</v>
      </c>
      <c r="C11" s="181"/>
      <c r="D11" s="181" t="s">
        <v>59</v>
      </c>
      <c r="E11" s="181"/>
    </row>
    <row r="12" spans="1:10" ht="30" customHeight="1" x14ac:dyDescent="0.35">
      <c r="B12" s="183" t="s">
        <v>56</v>
      </c>
      <c r="C12" s="183"/>
      <c r="D12" s="183" t="s">
        <v>56</v>
      </c>
      <c r="E12" s="183"/>
    </row>
    <row r="15" spans="1:10" ht="7.5" customHeight="1" x14ac:dyDescent="0.35"/>
    <row r="16" spans="1:10" ht="30" customHeight="1" x14ac:dyDescent="0.35">
      <c r="B16" s="170" t="s">
        <v>60</v>
      </c>
      <c r="C16" s="170"/>
      <c r="D16" s="170"/>
      <c r="E16" s="170"/>
      <c r="F16" s="170"/>
      <c r="G16" s="170"/>
      <c r="H16" s="170"/>
      <c r="I16" s="170"/>
    </row>
    <row r="17" spans="2:9" ht="7.5" customHeight="1" x14ac:dyDescent="0.35"/>
    <row r="18" spans="2:9" ht="34.5" customHeight="1" x14ac:dyDescent="0.35">
      <c r="B18" s="9" t="s">
        <v>61</v>
      </c>
      <c r="C18" s="9" t="s">
        <v>62</v>
      </c>
      <c r="D18" s="9" t="s">
        <v>63</v>
      </c>
      <c r="E18" s="9" t="s">
        <v>64</v>
      </c>
      <c r="F18" s="9" t="s">
        <v>65</v>
      </c>
      <c r="G18" s="9" t="s">
        <v>66</v>
      </c>
      <c r="H18" s="9" t="s">
        <v>67</v>
      </c>
      <c r="I18" s="9" t="s">
        <v>68</v>
      </c>
    </row>
    <row r="19" spans="2:9" ht="21.75" customHeight="1" x14ac:dyDescent="0.35">
      <c r="B19" s="10" t="s">
        <v>69</v>
      </c>
      <c r="C19" s="11">
        <v>27</v>
      </c>
      <c r="D19" s="11">
        <v>25</v>
      </c>
      <c r="E19" s="11">
        <f t="shared" ref="E19:E24" si="0">C19-D19</f>
        <v>2</v>
      </c>
      <c r="F19" s="12">
        <f t="shared" ref="F19:F25" si="1">IFERROR(D19/C19,0)</f>
        <v>0.92592592592592593</v>
      </c>
      <c r="G19" s="13" t="s">
        <v>70</v>
      </c>
      <c r="H19" s="14" t="s">
        <v>71</v>
      </c>
      <c r="I19" s="15" t="s">
        <v>72</v>
      </c>
    </row>
    <row r="20" spans="2:9" ht="21.75" customHeight="1" x14ac:dyDescent="0.35">
      <c r="B20" s="10" t="s">
        <v>73</v>
      </c>
      <c r="C20" s="16">
        <v>140</v>
      </c>
      <c r="D20" s="16">
        <v>40</v>
      </c>
      <c r="E20" s="16">
        <f t="shared" si="0"/>
        <v>100</v>
      </c>
      <c r="F20" s="12">
        <f t="shared" si="1"/>
        <v>0.2857142857142857</v>
      </c>
      <c r="G20" s="13" t="s">
        <v>70</v>
      </c>
      <c r="H20" s="17" t="s">
        <v>74</v>
      </c>
      <c r="I20" s="18" t="s">
        <v>75</v>
      </c>
    </row>
    <row r="21" spans="2:9" ht="21.75" customHeight="1" x14ac:dyDescent="0.35">
      <c r="B21" s="10" t="s">
        <v>76</v>
      </c>
      <c r="C21" s="11">
        <v>15</v>
      </c>
      <c r="D21" s="11">
        <v>15</v>
      </c>
      <c r="E21" s="11">
        <f t="shared" si="0"/>
        <v>0</v>
      </c>
      <c r="F21" s="12">
        <f t="shared" si="1"/>
        <v>1</v>
      </c>
      <c r="G21" s="13" t="s">
        <v>70</v>
      </c>
      <c r="H21" s="14" t="s">
        <v>71</v>
      </c>
      <c r="I21" s="15" t="s">
        <v>77</v>
      </c>
    </row>
    <row r="22" spans="2:9" ht="21.75" customHeight="1" x14ac:dyDescent="0.35">
      <c r="B22" s="10" t="s">
        <v>78</v>
      </c>
      <c r="C22" s="16">
        <v>60</v>
      </c>
      <c r="D22" s="16">
        <v>38</v>
      </c>
      <c r="E22" s="16">
        <f t="shared" si="0"/>
        <v>22</v>
      </c>
      <c r="F22" s="12">
        <f t="shared" si="1"/>
        <v>0.6333333333333333</v>
      </c>
      <c r="G22" s="13" t="s">
        <v>70</v>
      </c>
      <c r="H22" s="19" t="s">
        <v>79</v>
      </c>
      <c r="I22" s="18" t="s">
        <v>80</v>
      </c>
    </row>
    <row r="23" spans="2:9" ht="21.75" customHeight="1" x14ac:dyDescent="0.35">
      <c r="B23" s="10" t="s">
        <v>81</v>
      </c>
      <c r="C23" s="11">
        <v>99</v>
      </c>
      <c r="D23" s="11">
        <v>39</v>
      </c>
      <c r="E23" s="11">
        <f t="shared" si="0"/>
        <v>60</v>
      </c>
      <c r="F23" s="12">
        <f t="shared" si="1"/>
        <v>0.39393939393939392</v>
      </c>
      <c r="G23" s="13" t="s">
        <v>70</v>
      </c>
      <c r="H23" s="17" t="s">
        <v>74</v>
      </c>
      <c r="I23" s="15" t="s">
        <v>82</v>
      </c>
    </row>
    <row r="24" spans="2:9" ht="21.75" customHeight="1" x14ac:dyDescent="0.35">
      <c r="B24" s="10" t="s">
        <v>83</v>
      </c>
      <c r="C24" s="16">
        <v>238</v>
      </c>
      <c r="D24" s="16">
        <v>80</v>
      </c>
      <c r="E24" s="16">
        <f t="shared" si="0"/>
        <v>158</v>
      </c>
      <c r="F24" s="12">
        <f t="shared" si="1"/>
        <v>0.33613445378151263</v>
      </c>
      <c r="G24" s="13" t="s">
        <v>84</v>
      </c>
      <c r="H24" s="17" t="s">
        <v>74</v>
      </c>
      <c r="I24" s="18" t="s">
        <v>85</v>
      </c>
    </row>
    <row r="25" spans="2:9" ht="21.75" customHeight="1" x14ac:dyDescent="0.35">
      <c r="B25" s="20" t="s">
        <v>86</v>
      </c>
      <c r="C25" s="9">
        <v>579</v>
      </c>
      <c r="D25" s="9">
        <f>SUM(D19:D24)</f>
        <v>237</v>
      </c>
      <c r="E25" s="9">
        <f>SUM(E19:E24)</f>
        <v>342</v>
      </c>
      <c r="F25" s="21">
        <f t="shared" si="1"/>
        <v>0.40932642487046633</v>
      </c>
      <c r="G25" s="9"/>
      <c r="H25" s="9"/>
      <c r="I25" s="20"/>
    </row>
    <row r="27" spans="2:9" ht="7.5" customHeight="1" x14ac:dyDescent="0.35"/>
    <row r="28" spans="2:9" ht="21.75" customHeight="1" x14ac:dyDescent="0.35">
      <c r="B28" s="184" t="s">
        <v>87</v>
      </c>
      <c r="C28" s="184"/>
      <c r="D28" s="184"/>
      <c r="E28" s="184"/>
      <c r="F28" s="184"/>
      <c r="G28" s="184"/>
      <c r="H28" s="184"/>
      <c r="I28" s="184"/>
    </row>
    <row r="29" spans="2:9" ht="19.5" customHeight="1" x14ac:dyDescent="0.35">
      <c r="B29" s="4"/>
      <c r="C29" s="185" t="s">
        <v>88</v>
      </c>
      <c r="D29" s="185"/>
      <c r="E29" s="173" t="s">
        <v>89</v>
      </c>
      <c r="F29" s="173"/>
      <c r="G29" s="173"/>
      <c r="H29" s="173"/>
      <c r="I29" s="173"/>
    </row>
    <row r="30" spans="2:9" ht="19.5" customHeight="1" x14ac:dyDescent="0.35">
      <c r="B30" s="5"/>
      <c r="C30" s="186" t="s">
        <v>90</v>
      </c>
      <c r="D30" s="186"/>
      <c r="E30" s="173" t="s">
        <v>91</v>
      </c>
      <c r="F30" s="173"/>
      <c r="G30" s="173"/>
      <c r="H30" s="173"/>
      <c r="I30" s="173"/>
    </row>
    <row r="31" spans="2:9" ht="19.5" customHeight="1" x14ac:dyDescent="0.35">
      <c r="B31" s="6"/>
      <c r="C31" s="187" t="s">
        <v>42</v>
      </c>
      <c r="D31" s="187"/>
      <c r="E31" s="173" t="s">
        <v>92</v>
      </c>
      <c r="F31" s="173"/>
      <c r="G31" s="173"/>
      <c r="H31" s="173"/>
      <c r="I31" s="173"/>
    </row>
    <row r="32" spans="2:9" ht="19.5" customHeight="1" x14ac:dyDescent="0.35">
      <c r="B32" s="7"/>
      <c r="C32" s="188" t="s">
        <v>44</v>
      </c>
      <c r="D32" s="188"/>
      <c r="E32" s="173" t="s">
        <v>93</v>
      </c>
      <c r="F32" s="173"/>
      <c r="G32" s="173"/>
      <c r="H32" s="173"/>
      <c r="I32" s="173"/>
    </row>
  </sheetData>
  <sheetProtection password="9464" sheet="1"/>
  <mergeCells count="25">
    <mergeCell ref="C30:D30"/>
    <mergeCell ref="E30:I30"/>
    <mergeCell ref="C31:D31"/>
    <mergeCell ref="E31:I31"/>
    <mergeCell ref="C32:D32"/>
    <mergeCell ref="E32:I32"/>
    <mergeCell ref="B12:C12"/>
    <mergeCell ref="D12:E12"/>
    <mergeCell ref="B16:I16"/>
    <mergeCell ref="B28:I28"/>
    <mergeCell ref="C29:D29"/>
    <mergeCell ref="E29:I29"/>
    <mergeCell ref="B10:C10"/>
    <mergeCell ref="D10:E10"/>
    <mergeCell ref="F10:G10"/>
    <mergeCell ref="H10:I10"/>
    <mergeCell ref="B11:C11"/>
    <mergeCell ref="D11:E11"/>
    <mergeCell ref="B2:I2"/>
    <mergeCell ref="B3:I3"/>
    <mergeCell ref="B8:C8"/>
    <mergeCell ref="B9:C9"/>
    <mergeCell ref="D9:E9"/>
    <mergeCell ref="F9:G9"/>
    <mergeCell ref="H9:I9"/>
  </mergeCells>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65"/>
  <sheetViews>
    <sheetView zoomScaleNormal="100" workbookViewId="0">
      <pane ySplit="2" topLeftCell="A47" activePane="bottomLeft" state="frozen"/>
      <selection pane="bottomLeft" activeCell="B36" sqref="B36"/>
    </sheetView>
  </sheetViews>
  <sheetFormatPr defaultColWidth="8.6328125" defaultRowHeight="14.5" x14ac:dyDescent="0.35"/>
  <cols>
    <col min="1" max="1" width="35" customWidth="1"/>
    <col min="2" max="2" width="12" customWidth="1"/>
    <col min="3" max="5" width="14" customWidth="1"/>
    <col min="6" max="6" width="24.6328125" customWidth="1"/>
    <col min="7" max="7" width="14" customWidth="1"/>
    <col min="8" max="8" width="18" customWidth="1"/>
    <col min="9" max="9" width="35" customWidth="1"/>
    <col min="10" max="11" width="12" customWidth="1"/>
  </cols>
  <sheetData>
    <row r="1" spans="1:11" ht="30" customHeight="1" x14ac:dyDescent="0.35">
      <c r="A1" s="190" t="s">
        <v>94</v>
      </c>
      <c r="B1" s="190"/>
      <c r="C1" s="190"/>
      <c r="D1" s="190"/>
      <c r="E1" s="190"/>
      <c r="F1" s="190"/>
      <c r="G1" s="190"/>
      <c r="H1" s="190"/>
      <c r="I1" s="190"/>
      <c r="J1" s="190"/>
      <c r="K1" s="190"/>
    </row>
    <row r="2" spans="1:11" ht="15.75" customHeight="1" x14ac:dyDescent="0.35">
      <c r="A2" s="191" t="s">
        <v>95</v>
      </c>
      <c r="B2" s="191"/>
      <c r="C2" s="191"/>
      <c r="D2" s="191"/>
      <c r="E2" s="191"/>
      <c r="F2" s="191"/>
      <c r="G2" s="191"/>
      <c r="H2" s="191"/>
      <c r="I2" s="191"/>
      <c r="J2" s="191"/>
      <c r="K2" s="191"/>
    </row>
    <row r="4" spans="1:11" ht="21.75" customHeight="1" x14ac:dyDescent="0.35">
      <c r="A4" s="189" t="s">
        <v>96</v>
      </c>
      <c r="B4" s="189"/>
      <c r="C4" s="189"/>
      <c r="D4" s="189"/>
      <c r="E4" s="189"/>
      <c r="F4" s="189"/>
      <c r="G4" s="189"/>
      <c r="H4" s="189"/>
      <c r="I4" s="189"/>
      <c r="J4" s="189"/>
      <c r="K4" s="189"/>
    </row>
    <row r="5" spans="1:11" x14ac:dyDescent="0.35">
      <c r="A5" s="22" t="s">
        <v>61</v>
      </c>
      <c r="B5" s="22" t="s">
        <v>62</v>
      </c>
      <c r="C5" s="22" t="s">
        <v>63</v>
      </c>
      <c r="D5" s="22" t="s">
        <v>74</v>
      </c>
      <c r="E5" s="22" t="s">
        <v>97</v>
      </c>
      <c r="F5" s="22" t="s">
        <v>68</v>
      </c>
    </row>
    <row r="6" spans="1:11" ht="23.25" customHeight="1" x14ac:dyDescent="0.35">
      <c r="A6" s="23" t="s">
        <v>69</v>
      </c>
      <c r="B6" s="24">
        <f>COUNTA('General Details-RE'!C4:C33)</f>
        <v>30</v>
      </c>
      <c r="C6" s="24">
        <f>COUNTIF('General Details-RE'!F4:F33,"Submitted")</f>
        <v>30</v>
      </c>
      <c r="D6" s="24">
        <f t="shared" ref="D6:D11" si="0">B6-C6</f>
        <v>0</v>
      </c>
      <c r="E6" s="25">
        <f t="shared" ref="E6:E12" si="1">IFERROR(C6/B6,0)</f>
        <v>1</v>
      </c>
      <c r="F6" s="26" t="s">
        <v>98</v>
      </c>
    </row>
    <row r="7" spans="1:11" ht="23.25" customHeight="1" x14ac:dyDescent="0.35">
      <c r="A7" s="27" t="s">
        <v>73</v>
      </c>
      <c r="B7" s="28">
        <f>COUNTA('TD Requirement-RE'!C4:C142)</f>
        <v>139</v>
      </c>
      <c r="C7" s="28">
        <f>COUNTIF('TD Requirement-RE'!D4:D142,"Submitted")</f>
        <v>139</v>
      </c>
      <c r="D7" s="28">
        <f t="shared" si="0"/>
        <v>0</v>
      </c>
      <c r="E7" s="29">
        <f t="shared" si="1"/>
        <v>1</v>
      </c>
      <c r="F7" s="30" t="s">
        <v>99</v>
      </c>
    </row>
    <row r="8" spans="1:11" ht="23.25" customHeight="1" x14ac:dyDescent="0.35">
      <c r="A8" s="23" t="s">
        <v>76</v>
      </c>
      <c r="B8" s="24">
        <f>COUNTA('Power Quality'!C4:C20)</f>
        <v>17</v>
      </c>
      <c r="C8" s="24">
        <f>COUNTA('Power Quality'!F4:F20)</f>
        <v>17</v>
      </c>
      <c r="D8" s="24">
        <f t="shared" si="0"/>
        <v>0</v>
      </c>
      <c r="E8" s="25">
        <f t="shared" si="1"/>
        <v>1</v>
      </c>
      <c r="F8" s="26" t="s">
        <v>100</v>
      </c>
    </row>
    <row r="9" spans="1:11" ht="23.25" customHeight="1" x14ac:dyDescent="0.35">
      <c r="A9" s="27" t="s">
        <v>78</v>
      </c>
      <c r="B9" s="28">
        <f>COUNTA('Steady State'!C4:C49)</f>
        <v>46</v>
      </c>
      <c r="C9" s="28">
        <f>COUNTA('Steady State'!G4:G49)</f>
        <v>46</v>
      </c>
      <c r="D9" s="28">
        <f t="shared" si="0"/>
        <v>0</v>
      </c>
      <c r="E9" s="29">
        <f t="shared" si="1"/>
        <v>1</v>
      </c>
      <c r="F9" s="30" t="s">
        <v>101</v>
      </c>
    </row>
    <row r="10" spans="1:11" ht="23.25" customHeight="1" x14ac:dyDescent="0.35">
      <c r="A10" s="23" t="s">
        <v>81</v>
      </c>
      <c r="B10" s="24">
        <f>COUNTA('Dynamic Data-RE'!D4:D186)</f>
        <v>178</v>
      </c>
      <c r="C10" s="24">
        <f>COUNTA('Dynamic Data-RE'!G4:G186)</f>
        <v>178</v>
      </c>
      <c r="D10" s="24">
        <f t="shared" si="0"/>
        <v>0</v>
      </c>
      <c r="E10" s="25">
        <f t="shared" si="1"/>
        <v>1</v>
      </c>
      <c r="F10" s="26" t="s">
        <v>102</v>
      </c>
    </row>
    <row r="11" spans="1:11" ht="23.25" customHeight="1" x14ac:dyDescent="0.35">
      <c r="A11" s="27" t="s">
        <v>83</v>
      </c>
      <c r="B11" s="28">
        <f>COUNTA('Standard Test Cases'!A4:A241)</f>
        <v>226</v>
      </c>
      <c r="C11" s="28">
        <f>COUNTA('Standard Test Cases'!H4:H241)</f>
        <v>226</v>
      </c>
      <c r="D11" s="28">
        <f t="shared" si="0"/>
        <v>0</v>
      </c>
      <c r="E11" s="29">
        <f t="shared" si="1"/>
        <v>1</v>
      </c>
      <c r="F11" s="30" t="s">
        <v>103</v>
      </c>
    </row>
    <row r="12" spans="1:11" x14ac:dyDescent="0.35">
      <c r="A12" s="31" t="s">
        <v>86</v>
      </c>
      <c r="B12" s="32">
        <f>SUM(B6:B11)</f>
        <v>636</v>
      </c>
      <c r="C12" s="32">
        <f>SUM(C6:C11)</f>
        <v>636</v>
      </c>
      <c r="D12" s="32">
        <f>SUM(D6:D11)</f>
        <v>0</v>
      </c>
      <c r="E12" s="33">
        <f t="shared" si="1"/>
        <v>1</v>
      </c>
      <c r="F12" s="32"/>
    </row>
    <row r="14" spans="1:11" ht="21.75" customHeight="1" x14ac:dyDescent="0.35">
      <c r="A14" s="189" t="s">
        <v>104</v>
      </c>
      <c r="B14" s="189"/>
      <c r="C14" s="189"/>
      <c r="D14" s="189"/>
      <c r="E14" s="189"/>
      <c r="F14" s="189"/>
      <c r="G14" s="189"/>
      <c r="H14" s="189"/>
      <c r="I14" s="189"/>
      <c r="J14" s="189"/>
      <c r="K14" s="189"/>
    </row>
    <row r="15" spans="1:11" x14ac:dyDescent="0.35">
      <c r="A15" s="22" t="s">
        <v>105</v>
      </c>
      <c r="B15" s="22" t="s">
        <v>106</v>
      </c>
      <c r="C15" s="22" t="s">
        <v>63</v>
      </c>
      <c r="D15" s="22" t="s">
        <v>74</v>
      </c>
      <c r="E15" s="22" t="s">
        <v>97</v>
      </c>
      <c r="F15" s="22" t="s">
        <v>107</v>
      </c>
    </row>
    <row r="16" spans="1:11" x14ac:dyDescent="0.35">
      <c r="A16" s="23" t="s">
        <v>108</v>
      </c>
      <c r="B16" s="24">
        <f>COUNTIF('TD Requirement-RE'!B:B,A16)</f>
        <v>0</v>
      </c>
      <c r="C16" s="24">
        <f>COUNTIFS('TD Requirement-RE'!B:B,A16,'TD Requirement-RE'!D:D,"Submitted")</f>
        <v>0</v>
      </c>
      <c r="D16" s="24">
        <f t="shared" ref="D16:D28" si="2">B16-C16</f>
        <v>0</v>
      </c>
      <c r="E16" s="25">
        <f t="shared" ref="E16:E28" si="3">IFERROR(C16/B16,0)</f>
        <v>0</v>
      </c>
      <c r="F16" s="34" t="str">
        <f t="shared" ref="F16:F28" si="4">IF(E16=1,"GREEN",IF(E16&gt;=0.5,"AMBER","RED"))</f>
        <v>RED</v>
      </c>
    </row>
    <row r="17" spans="1:11" x14ac:dyDescent="0.35">
      <c r="A17" s="27" t="s">
        <v>109</v>
      </c>
      <c r="B17" s="28">
        <f>COUNTIF('TD Requirement-RE'!B:B,A17)</f>
        <v>0</v>
      </c>
      <c r="C17" s="28">
        <f>COUNTIFS('TD Requirement-RE'!B:B,A17,'TD Requirement-RE'!D:D,"Submitted")</f>
        <v>0</v>
      </c>
      <c r="D17" s="28">
        <f t="shared" si="2"/>
        <v>0</v>
      </c>
      <c r="E17" s="29">
        <f t="shared" si="3"/>
        <v>0</v>
      </c>
      <c r="F17" s="34" t="str">
        <f t="shared" si="4"/>
        <v>RED</v>
      </c>
    </row>
    <row r="18" spans="1:11" x14ac:dyDescent="0.35">
      <c r="A18" s="23" t="s">
        <v>110</v>
      </c>
      <c r="B18" s="24">
        <f>COUNTIF('TD Requirement-RE'!B:B,A18)</f>
        <v>0</v>
      </c>
      <c r="C18" s="24">
        <f>COUNTIFS('TD Requirement-RE'!B:B,A18,'TD Requirement-RE'!D:D,"Submitted")</f>
        <v>0</v>
      </c>
      <c r="D18" s="24">
        <f t="shared" si="2"/>
        <v>0</v>
      </c>
      <c r="E18" s="25">
        <f t="shared" si="3"/>
        <v>0</v>
      </c>
      <c r="F18" s="34" t="str">
        <f t="shared" si="4"/>
        <v>RED</v>
      </c>
    </row>
    <row r="19" spans="1:11" x14ac:dyDescent="0.35">
      <c r="A19" s="27" t="s">
        <v>111</v>
      </c>
      <c r="B19" s="28">
        <f>COUNTIF('TD Requirement-RE'!B:B,A19)</f>
        <v>27</v>
      </c>
      <c r="C19" s="28">
        <f>COUNTIFS('TD Requirement-RE'!B:B,A19,'TD Requirement-RE'!D:D,"Submitted")</f>
        <v>27</v>
      </c>
      <c r="D19" s="28">
        <f t="shared" si="2"/>
        <v>0</v>
      </c>
      <c r="E19" s="29">
        <f t="shared" si="3"/>
        <v>1</v>
      </c>
      <c r="F19" s="35" t="str">
        <f t="shared" si="4"/>
        <v>GREEN</v>
      </c>
    </row>
    <row r="20" spans="1:11" x14ac:dyDescent="0.35">
      <c r="A20" s="23" t="s">
        <v>112</v>
      </c>
      <c r="B20" s="24">
        <f>COUNTIF('TD Requirement-RE'!B:B,A20)</f>
        <v>10</v>
      </c>
      <c r="C20" s="24">
        <f>COUNTIFS('TD Requirement-RE'!B:B,A20,'TD Requirement-RE'!D:D,"Submitted")</f>
        <v>10</v>
      </c>
      <c r="D20" s="24">
        <f t="shared" si="2"/>
        <v>0</v>
      </c>
      <c r="E20" s="25">
        <f t="shared" si="3"/>
        <v>1</v>
      </c>
      <c r="F20" s="35" t="str">
        <f t="shared" si="4"/>
        <v>GREEN</v>
      </c>
    </row>
    <row r="21" spans="1:11" x14ac:dyDescent="0.35">
      <c r="A21" s="27" t="s">
        <v>113</v>
      </c>
      <c r="B21" s="28">
        <f>COUNTIF('TD Requirement-RE'!B:B,A21)</f>
        <v>10</v>
      </c>
      <c r="C21" s="28">
        <f>COUNTIFS('TD Requirement-RE'!B:B,A21,'TD Requirement-RE'!D:D,"Submitted")</f>
        <v>10</v>
      </c>
      <c r="D21" s="28">
        <f t="shared" si="2"/>
        <v>0</v>
      </c>
      <c r="E21" s="29">
        <f t="shared" si="3"/>
        <v>1</v>
      </c>
      <c r="F21" s="35" t="str">
        <f t="shared" si="4"/>
        <v>GREEN</v>
      </c>
    </row>
    <row r="22" spans="1:11" x14ac:dyDescent="0.35">
      <c r="A22" s="23" t="s">
        <v>114</v>
      </c>
      <c r="B22" s="24">
        <f>COUNTIF('TD Requirement-RE'!B:B,A22)</f>
        <v>10</v>
      </c>
      <c r="C22" s="24">
        <f>COUNTIFS('TD Requirement-RE'!B:B,A22,'TD Requirement-RE'!D:D,"Submitted")</f>
        <v>10</v>
      </c>
      <c r="D22" s="24">
        <f t="shared" si="2"/>
        <v>0</v>
      </c>
      <c r="E22" s="25">
        <f t="shared" si="3"/>
        <v>1</v>
      </c>
      <c r="F22" s="35" t="str">
        <f t="shared" si="4"/>
        <v>GREEN</v>
      </c>
    </row>
    <row r="23" spans="1:11" x14ac:dyDescent="0.35">
      <c r="A23" s="27" t="s">
        <v>115</v>
      </c>
      <c r="B23" s="28">
        <f>COUNTIF('TD Requirement-RE'!B:B,A23)</f>
        <v>10</v>
      </c>
      <c r="C23" s="28">
        <f>COUNTIFS('TD Requirement-RE'!B:B,A23,'TD Requirement-RE'!D:D,"Submitted")</f>
        <v>10</v>
      </c>
      <c r="D23" s="28">
        <f t="shared" si="2"/>
        <v>0</v>
      </c>
      <c r="E23" s="29">
        <f t="shared" si="3"/>
        <v>1</v>
      </c>
      <c r="F23" s="35" t="str">
        <f t="shared" si="4"/>
        <v>GREEN</v>
      </c>
    </row>
    <row r="24" spans="1:11" x14ac:dyDescent="0.35">
      <c r="A24" s="23" t="s">
        <v>116</v>
      </c>
      <c r="B24" s="24">
        <f>COUNTIF('TD Requirement-RE'!B:B,A24)</f>
        <v>3</v>
      </c>
      <c r="C24" s="24">
        <f>COUNTIFS('TD Requirement-RE'!B:B,A24,'TD Requirement-RE'!D:D,"Submitted")</f>
        <v>3</v>
      </c>
      <c r="D24" s="24">
        <f t="shared" si="2"/>
        <v>0</v>
      </c>
      <c r="E24" s="25">
        <f t="shared" si="3"/>
        <v>1</v>
      </c>
      <c r="F24" s="35" t="str">
        <f t="shared" si="4"/>
        <v>GREEN</v>
      </c>
    </row>
    <row r="25" spans="1:11" x14ac:dyDescent="0.35">
      <c r="A25" s="27" t="s">
        <v>117</v>
      </c>
      <c r="B25" s="28">
        <f>COUNTIF('TD Requirement-RE'!B:B,A25)</f>
        <v>5</v>
      </c>
      <c r="C25" s="28">
        <f>COUNTIFS('TD Requirement-RE'!B:B,A25,'TD Requirement-RE'!D:D,"Submitted")</f>
        <v>5</v>
      </c>
      <c r="D25" s="28">
        <f t="shared" si="2"/>
        <v>0</v>
      </c>
      <c r="E25" s="29">
        <f t="shared" si="3"/>
        <v>1</v>
      </c>
      <c r="F25" s="35" t="str">
        <f t="shared" si="4"/>
        <v>GREEN</v>
      </c>
    </row>
    <row r="26" spans="1:11" x14ac:dyDescent="0.35">
      <c r="A26" s="23" t="s">
        <v>118</v>
      </c>
      <c r="B26" s="24">
        <f>COUNTIF('TD Requirement-RE'!B:B,A26)</f>
        <v>16</v>
      </c>
      <c r="C26" s="24">
        <f>COUNTIFS('TD Requirement-RE'!B:B,A26,'TD Requirement-RE'!D:D,"Submitted")</f>
        <v>16</v>
      </c>
      <c r="D26" s="24">
        <f t="shared" si="2"/>
        <v>0</v>
      </c>
      <c r="E26" s="25">
        <f t="shared" si="3"/>
        <v>1</v>
      </c>
      <c r="F26" s="35" t="str">
        <f t="shared" si="4"/>
        <v>GREEN</v>
      </c>
    </row>
    <row r="27" spans="1:11" x14ac:dyDescent="0.35">
      <c r="A27" s="27" t="s">
        <v>119</v>
      </c>
      <c r="B27" s="28">
        <f>COUNTIF('TD Requirement-RE'!B:B,A27)</f>
        <v>15</v>
      </c>
      <c r="C27" s="28">
        <f>COUNTIFS('TD Requirement-RE'!B:B,A27,'TD Requirement-RE'!D:D,"Submitted")</f>
        <v>15</v>
      </c>
      <c r="D27" s="28">
        <f t="shared" si="2"/>
        <v>0</v>
      </c>
      <c r="E27" s="29">
        <f t="shared" si="3"/>
        <v>1</v>
      </c>
      <c r="F27" s="35" t="str">
        <f t="shared" si="4"/>
        <v>GREEN</v>
      </c>
    </row>
    <row r="28" spans="1:11" x14ac:dyDescent="0.35">
      <c r="A28" s="23" t="s">
        <v>120</v>
      </c>
      <c r="B28" s="24">
        <f>COUNTIF('TD Requirement-RE'!B:B,A28)</f>
        <v>1</v>
      </c>
      <c r="C28" s="24">
        <f>COUNTIFS('TD Requirement-RE'!B:B,A28,'TD Requirement-RE'!D:D,"Submitted")</f>
        <v>1</v>
      </c>
      <c r="D28" s="24">
        <f t="shared" si="2"/>
        <v>0</v>
      </c>
      <c r="E28" s="25">
        <f t="shared" si="3"/>
        <v>1</v>
      </c>
      <c r="F28" s="35" t="str">
        <f t="shared" si="4"/>
        <v>GREEN</v>
      </c>
    </row>
    <row r="31" spans="1:11" ht="21.75" customHeight="1" x14ac:dyDescent="0.35">
      <c r="A31" s="189" t="s">
        <v>121</v>
      </c>
      <c r="B31" s="189"/>
      <c r="C31" s="189"/>
      <c r="D31" s="189"/>
      <c r="E31" s="189"/>
      <c r="F31" s="189"/>
      <c r="G31" s="189"/>
      <c r="H31" s="189"/>
      <c r="I31" s="189"/>
      <c r="J31" s="189"/>
      <c r="K31" s="189"/>
    </row>
    <row r="32" spans="1:11" ht="26.25" customHeight="1" x14ac:dyDescent="0.35">
      <c r="A32" s="22" t="s">
        <v>122</v>
      </c>
      <c r="B32" s="22" t="s">
        <v>105</v>
      </c>
      <c r="C32" s="22" t="s">
        <v>123</v>
      </c>
      <c r="D32" s="22" t="s">
        <v>124</v>
      </c>
      <c r="E32" s="22" t="s">
        <v>125</v>
      </c>
    </row>
    <row r="33" spans="1:11" x14ac:dyDescent="0.35">
      <c r="A33" s="23" t="s">
        <v>126</v>
      </c>
      <c r="B33" s="24" t="s">
        <v>127</v>
      </c>
      <c r="C33" s="24">
        <f>'Power Quality'!F4</f>
        <v>16893.53</v>
      </c>
      <c r="D33" s="24" t="str">
        <f>'Power Quality'!G4</f>
        <v>NA</v>
      </c>
      <c r="E33" s="34" t="s">
        <v>128</v>
      </c>
    </row>
    <row r="34" spans="1:11" x14ac:dyDescent="0.35">
      <c r="A34" s="27" t="s">
        <v>129</v>
      </c>
      <c r="B34" s="28" t="s">
        <v>127</v>
      </c>
      <c r="C34" s="28" t="str">
        <f>'Power Quality'!F6</f>
        <v>Yes</v>
      </c>
      <c r="D34" s="28" t="str">
        <f>'Power Quality'!G6</f>
        <v>NA</v>
      </c>
      <c r="E34" s="34" t="s">
        <v>128</v>
      </c>
    </row>
    <row r="35" spans="1:11" x14ac:dyDescent="0.35">
      <c r="A35" s="23" t="s">
        <v>130</v>
      </c>
      <c r="B35" s="24" t="s">
        <v>127</v>
      </c>
      <c r="C35" s="24" t="str">
        <f>'Power Quality'!F7</f>
        <v>Yes</v>
      </c>
      <c r="D35" s="24" t="str">
        <f>'Power Quality'!G7</f>
        <v>NA</v>
      </c>
      <c r="E35" s="34" t="s">
        <v>128</v>
      </c>
    </row>
    <row r="36" spans="1:11" x14ac:dyDescent="0.35">
      <c r="A36" s="27" t="s">
        <v>131</v>
      </c>
      <c r="B36" s="28" t="s">
        <v>127</v>
      </c>
      <c r="C36" s="28" t="str">
        <f>'Power Quality'!F8</f>
        <v>Yes</v>
      </c>
      <c r="D36" s="28" t="str">
        <f>'Power Quality'!G8</f>
        <v>NA</v>
      </c>
      <c r="E36" s="34" t="s">
        <v>128</v>
      </c>
    </row>
    <row r="37" spans="1:11" x14ac:dyDescent="0.35">
      <c r="A37" s="23" t="s">
        <v>132</v>
      </c>
      <c r="B37" s="24" t="s">
        <v>127</v>
      </c>
      <c r="C37" s="24">
        <f>'Power Quality'!F9</f>
        <v>1.179</v>
      </c>
      <c r="D37" s="24">
        <f>'Power Quality'!G9</f>
        <v>1.4999999999999999E-2</v>
      </c>
      <c r="E37" s="34" t="s">
        <v>128</v>
      </c>
    </row>
    <row r="38" spans="1:11" x14ac:dyDescent="0.35">
      <c r="A38" s="27" t="s">
        <v>133</v>
      </c>
      <c r="B38" s="28" t="s">
        <v>134</v>
      </c>
      <c r="C38" s="28">
        <f>'Power Quality'!F11</f>
        <v>9.4310000000000001E-3</v>
      </c>
      <c r="D38" s="28">
        <f>'Power Quality'!G11</f>
        <v>0.01</v>
      </c>
      <c r="E38" s="34" t="s">
        <v>128</v>
      </c>
    </row>
    <row r="39" spans="1:11" x14ac:dyDescent="0.35">
      <c r="A39" s="23" t="s">
        <v>135</v>
      </c>
      <c r="B39" s="24" t="s">
        <v>136</v>
      </c>
      <c r="C39" s="24">
        <f>'Power Quality'!F12</f>
        <v>7.3499999999999998E-4</v>
      </c>
      <c r="D39" s="24">
        <f>'Power Quality'!G12</f>
        <v>5.0000000000000001E-3</v>
      </c>
      <c r="E39" s="34" t="s">
        <v>128</v>
      </c>
    </row>
    <row r="40" spans="1:11" x14ac:dyDescent="0.35">
      <c r="A40" s="27" t="s">
        <v>137</v>
      </c>
      <c r="B40" s="28" t="s">
        <v>136</v>
      </c>
      <c r="C40" s="28">
        <f>'Power Quality'!F13</f>
        <v>2.6900000000000001E-3</v>
      </c>
      <c r="D40" s="28">
        <f>'Power Quality'!G13</f>
        <v>3.8E-3</v>
      </c>
      <c r="E40" s="34" t="s">
        <v>128</v>
      </c>
    </row>
    <row r="41" spans="1:11" x14ac:dyDescent="0.35">
      <c r="A41" s="23" t="s">
        <v>138</v>
      </c>
      <c r="B41" s="24" t="s">
        <v>139</v>
      </c>
      <c r="C41" s="24">
        <f>'Power Quality'!F14</f>
        <v>8.5099999999999998E-4</v>
      </c>
      <c r="D41" s="24">
        <f>'Power Quality'!G14</f>
        <v>1.5E-3</v>
      </c>
      <c r="E41" s="34" t="s">
        <v>128</v>
      </c>
    </row>
    <row r="43" spans="1:11" ht="21.75" customHeight="1" x14ac:dyDescent="0.35">
      <c r="A43" s="189" t="s">
        <v>140</v>
      </c>
      <c r="B43" s="189"/>
      <c r="C43" s="189"/>
      <c r="D43" s="189"/>
      <c r="E43" s="189"/>
      <c r="F43" s="189"/>
      <c r="G43" s="189"/>
      <c r="H43" s="189"/>
      <c r="I43" s="189"/>
      <c r="J43" s="189"/>
      <c r="K43" s="189"/>
    </row>
    <row r="44" spans="1:11" ht="26.25" customHeight="1" x14ac:dyDescent="0.35">
      <c r="A44" s="22" t="s">
        <v>141</v>
      </c>
      <c r="B44" s="22" t="s">
        <v>142</v>
      </c>
      <c r="C44" s="22" t="s">
        <v>143</v>
      </c>
      <c r="D44" s="22" t="s">
        <v>144</v>
      </c>
      <c r="E44" s="22" t="s">
        <v>145</v>
      </c>
      <c r="F44" s="22" t="s">
        <v>146</v>
      </c>
      <c r="G44" s="22" t="s">
        <v>67</v>
      </c>
    </row>
    <row r="45" spans="1:11" x14ac:dyDescent="0.35">
      <c r="A45" s="23" t="s">
        <v>147</v>
      </c>
      <c r="B45" s="24" t="s">
        <v>148</v>
      </c>
      <c r="C45" s="24" t="e">
        <f>'Dynamic Data-RE'!#REF!</f>
        <v>#REF!</v>
      </c>
      <c r="D45" s="24">
        <f>'Dynamic Data-RE'!G7</f>
        <v>0.10166600000000001</v>
      </c>
      <c r="E45" s="24" t="s">
        <v>149</v>
      </c>
      <c r="F45" s="24" t="s">
        <v>150</v>
      </c>
      <c r="G45" s="34" t="s">
        <v>128</v>
      </c>
    </row>
    <row r="46" spans="1:11" x14ac:dyDescent="0.35">
      <c r="A46" s="27" t="s">
        <v>147</v>
      </c>
      <c r="B46" s="28" t="s">
        <v>151</v>
      </c>
      <c r="C46" s="28" t="str">
        <f>'Dynamic Data-RE'!G4</f>
        <v>No</v>
      </c>
      <c r="D46" s="28" t="s">
        <v>152</v>
      </c>
      <c r="E46" s="28" t="s">
        <v>153</v>
      </c>
      <c r="F46" s="28" t="s">
        <v>150</v>
      </c>
      <c r="G46" s="34" t="s">
        <v>128</v>
      </c>
    </row>
    <row r="47" spans="1:11" x14ac:dyDescent="0.35">
      <c r="A47" s="23" t="s">
        <v>154</v>
      </c>
      <c r="B47" s="24" t="s">
        <v>148</v>
      </c>
      <c r="C47" s="24" t="s">
        <v>155</v>
      </c>
      <c r="D47" s="24" t="s">
        <v>156</v>
      </c>
      <c r="E47" s="24" t="s">
        <v>149</v>
      </c>
      <c r="F47" s="24" t="s">
        <v>150</v>
      </c>
      <c r="G47" s="34" t="s">
        <v>128</v>
      </c>
    </row>
    <row r="48" spans="1:11" x14ac:dyDescent="0.35">
      <c r="A48" s="27" t="s">
        <v>157</v>
      </c>
      <c r="B48" s="28" t="s">
        <v>148</v>
      </c>
      <c r="C48" s="28" t="s">
        <v>158</v>
      </c>
      <c r="D48" s="28" t="s">
        <v>159</v>
      </c>
      <c r="E48" s="28" t="s">
        <v>160</v>
      </c>
      <c r="F48" s="28" t="s">
        <v>160</v>
      </c>
      <c r="G48" s="34" t="s">
        <v>161</v>
      </c>
    </row>
    <row r="49" spans="1:11" x14ac:dyDescent="0.35">
      <c r="A49" s="23" t="s">
        <v>162</v>
      </c>
      <c r="B49" s="24" t="s">
        <v>148</v>
      </c>
      <c r="C49" s="24" t="s">
        <v>160</v>
      </c>
      <c r="D49" s="24" t="s">
        <v>160</v>
      </c>
      <c r="E49" s="24" t="s">
        <v>160</v>
      </c>
      <c r="F49" s="24" t="s">
        <v>160</v>
      </c>
      <c r="G49" s="34" t="s">
        <v>161</v>
      </c>
    </row>
    <row r="50" spans="1:11" x14ac:dyDescent="0.35">
      <c r="A50" s="27" t="s">
        <v>163</v>
      </c>
      <c r="B50" s="28" t="s">
        <v>148</v>
      </c>
      <c r="C50" s="28" t="s">
        <v>160</v>
      </c>
      <c r="D50" s="28" t="s">
        <v>160</v>
      </c>
      <c r="E50" s="28" t="s">
        <v>160</v>
      </c>
      <c r="F50" s="28" t="s">
        <v>160</v>
      </c>
      <c r="G50" s="34" t="s">
        <v>161</v>
      </c>
    </row>
    <row r="52" spans="1:11" ht="21.75" customHeight="1" x14ac:dyDescent="0.35">
      <c r="A52" s="189" t="s">
        <v>164</v>
      </c>
      <c r="B52" s="189"/>
      <c r="C52" s="189"/>
      <c r="D52" s="189"/>
      <c r="E52" s="189"/>
      <c r="F52" s="189"/>
      <c r="G52" s="189"/>
      <c r="H52" s="189"/>
      <c r="I52" s="189"/>
      <c r="J52" s="189"/>
      <c r="K52" s="189"/>
    </row>
    <row r="53" spans="1:11" ht="26.25" customHeight="1" x14ac:dyDescent="0.35">
      <c r="A53" s="22" t="s">
        <v>165</v>
      </c>
      <c r="B53" s="22" t="s">
        <v>166</v>
      </c>
      <c r="C53" s="22" t="s">
        <v>167</v>
      </c>
      <c r="D53" s="22" t="s">
        <v>168</v>
      </c>
      <c r="E53" s="22" t="s">
        <v>66</v>
      </c>
      <c r="F53" s="22" t="s">
        <v>169</v>
      </c>
      <c r="G53" s="22" t="s">
        <v>170</v>
      </c>
      <c r="H53" s="22" t="s">
        <v>67</v>
      </c>
    </row>
    <row r="54" spans="1:11" ht="46.5" customHeight="1" x14ac:dyDescent="0.35">
      <c r="A54" s="24">
        <v>1</v>
      </c>
      <c r="B54" s="23" t="s">
        <v>171</v>
      </c>
      <c r="C54" s="36" t="s">
        <v>172</v>
      </c>
      <c r="D54" s="24">
        <v>100</v>
      </c>
      <c r="E54" s="35" t="s">
        <v>70</v>
      </c>
      <c r="F54" s="23" t="s">
        <v>173</v>
      </c>
      <c r="G54" s="24" t="s">
        <v>174</v>
      </c>
      <c r="H54" s="35" t="s">
        <v>175</v>
      </c>
    </row>
    <row r="55" spans="1:11" ht="34.5" customHeight="1" x14ac:dyDescent="0.35">
      <c r="A55" s="28">
        <v>2</v>
      </c>
      <c r="B55" s="27" t="s">
        <v>176</v>
      </c>
      <c r="C55" s="37" t="s">
        <v>177</v>
      </c>
      <c r="D55" s="28">
        <v>158</v>
      </c>
      <c r="E55" s="35" t="s">
        <v>70</v>
      </c>
      <c r="F55" s="27" t="s">
        <v>173</v>
      </c>
      <c r="G55" s="28" t="s">
        <v>178</v>
      </c>
      <c r="H55" s="35" t="s">
        <v>175</v>
      </c>
    </row>
    <row r="56" spans="1:11" ht="34.5" customHeight="1" x14ac:dyDescent="0.35">
      <c r="A56" s="24">
        <v>3</v>
      </c>
      <c r="B56" s="23" t="s">
        <v>179</v>
      </c>
      <c r="C56" s="36" t="s">
        <v>180</v>
      </c>
      <c r="D56" s="24">
        <v>22</v>
      </c>
      <c r="E56" s="35" t="s">
        <v>70</v>
      </c>
      <c r="F56" s="23" t="s">
        <v>181</v>
      </c>
      <c r="G56" s="24" t="s">
        <v>182</v>
      </c>
      <c r="H56" s="38" t="s">
        <v>183</v>
      </c>
    </row>
    <row r="57" spans="1:11" ht="46.5" customHeight="1" x14ac:dyDescent="0.35">
      <c r="A57" s="28">
        <v>4</v>
      </c>
      <c r="B57" s="27" t="s">
        <v>184</v>
      </c>
      <c r="C57" s="37" t="s">
        <v>185</v>
      </c>
      <c r="D57" s="28">
        <v>60</v>
      </c>
      <c r="E57" s="35" t="s">
        <v>70</v>
      </c>
      <c r="F57" s="27" t="s">
        <v>181</v>
      </c>
      <c r="G57" s="28" t="s">
        <v>186</v>
      </c>
      <c r="H57" s="38" t="s">
        <v>183</v>
      </c>
    </row>
    <row r="58" spans="1:11" ht="34.5" customHeight="1" x14ac:dyDescent="0.35">
      <c r="A58" s="24">
        <v>5</v>
      </c>
      <c r="B58" s="23" t="s">
        <v>187</v>
      </c>
      <c r="C58" s="36" t="s">
        <v>188</v>
      </c>
      <c r="D58" s="24">
        <v>2</v>
      </c>
      <c r="E58" s="38" t="s">
        <v>84</v>
      </c>
      <c r="F58" s="23" t="s">
        <v>189</v>
      </c>
      <c r="G58" s="24" t="s">
        <v>190</v>
      </c>
      <c r="H58" s="38" t="s">
        <v>183</v>
      </c>
    </row>
    <row r="59" spans="1:11" ht="23.25" customHeight="1" x14ac:dyDescent="0.35">
      <c r="A59" s="28">
        <v>6</v>
      </c>
      <c r="B59" s="27" t="s">
        <v>191</v>
      </c>
      <c r="C59" s="37" t="s">
        <v>192</v>
      </c>
      <c r="D59" s="28">
        <v>1</v>
      </c>
      <c r="E59" s="38" t="s">
        <v>84</v>
      </c>
      <c r="F59" s="27" t="s">
        <v>193</v>
      </c>
      <c r="G59" s="28" t="s">
        <v>194</v>
      </c>
      <c r="H59" s="34" t="s">
        <v>195</v>
      </c>
    </row>
    <row r="61" spans="1:11" ht="21.75" customHeight="1" x14ac:dyDescent="0.35">
      <c r="A61" s="189" t="s">
        <v>196</v>
      </c>
      <c r="B61" s="189"/>
      <c r="C61" s="189"/>
      <c r="D61" s="189"/>
      <c r="E61" s="189"/>
      <c r="F61" s="189"/>
      <c r="G61" s="189"/>
      <c r="H61" s="189"/>
      <c r="I61" s="189"/>
      <c r="J61" s="189"/>
      <c r="K61" s="189"/>
    </row>
    <row r="62" spans="1:11" x14ac:dyDescent="0.35">
      <c r="A62" s="39" t="s">
        <v>197</v>
      </c>
      <c r="B62" s="24" t="str">
        <f>TEXT(E12,"0%")&amp;" ("&amp;C12&amp;"/"&amp;B12&amp;" items)"</f>
        <v>100% (636/636 items)</v>
      </c>
      <c r="C62" s="38" t="str">
        <f>IF(E12=1,"COMPLIANT","IN PROGRESS")</f>
        <v>COMPLIANT</v>
      </c>
    </row>
    <row r="63" spans="1:11" x14ac:dyDescent="0.35">
      <c r="A63" s="40" t="s">
        <v>76</v>
      </c>
      <c r="B63" s="28" t="s">
        <v>198</v>
      </c>
      <c r="C63" s="34" t="s">
        <v>199</v>
      </c>
    </row>
    <row r="64" spans="1:11" x14ac:dyDescent="0.35">
      <c r="A64" s="39" t="s">
        <v>200</v>
      </c>
      <c r="B64" s="24" t="s">
        <v>201</v>
      </c>
      <c r="C64" s="34" t="s">
        <v>199</v>
      </c>
    </row>
    <row r="65" spans="1:3" x14ac:dyDescent="0.35">
      <c r="A65" s="40" t="s">
        <v>202</v>
      </c>
      <c r="B65" s="28" t="s">
        <v>203</v>
      </c>
      <c r="C65" s="35" t="s">
        <v>204</v>
      </c>
    </row>
  </sheetData>
  <sheetProtection password="9464" sheet="1"/>
  <mergeCells count="8">
    <mergeCell ref="A43:K43"/>
    <mergeCell ref="A52:K52"/>
    <mergeCell ref="A61:K61"/>
    <mergeCell ref="A1:K1"/>
    <mergeCell ref="A2:K2"/>
    <mergeCell ref="A4:K4"/>
    <mergeCell ref="A14:K14"/>
    <mergeCell ref="A31:K31"/>
  </mergeCells>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41"/>
  <sheetViews>
    <sheetView showGridLines="0" zoomScale="58" zoomScaleNormal="115" workbookViewId="0">
      <pane ySplit="3" topLeftCell="A21" activePane="bottomLeft" state="frozen"/>
      <selection activeCell="C1" sqref="C1"/>
      <selection pane="bottomLeft" activeCell="G30" sqref="G30"/>
    </sheetView>
  </sheetViews>
  <sheetFormatPr defaultColWidth="8.6328125" defaultRowHeight="14.5" x14ac:dyDescent="0.35"/>
  <cols>
    <col min="1" max="2" width="10" customWidth="1"/>
    <col min="3" max="3" width="38.6328125" customWidth="1"/>
    <col min="4" max="4" width="10" customWidth="1"/>
    <col min="5" max="5" width="46.6328125" customWidth="1"/>
    <col min="6" max="6" width="18" customWidth="1"/>
    <col min="7" max="7" width="36" bestFit="1" customWidth="1"/>
    <col min="8" max="8" width="60" customWidth="1"/>
  </cols>
  <sheetData>
    <row r="1" spans="1:8" x14ac:dyDescent="0.35">
      <c r="A1" s="41" t="s">
        <v>205</v>
      </c>
    </row>
    <row r="2" spans="1:8" x14ac:dyDescent="0.35">
      <c r="A2" s="41"/>
    </row>
    <row r="3" spans="1:8" ht="23" x14ac:dyDescent="0.35">
      <c r="A3" s="9" t="s">
        <v>206</v>
      </c>
      <c r="B3" s="9" t="s">
        <v>105</v>
      </c>
      <c r="C3" s="9" t="s">
        <v>207</v>
      </c>
      <c r="D3" s="9" t="s">
        <v>208</v>
      </c>
      <c r="E3" s="9" t="s">
        <v>209</v>
      </c>
      <c r="F3" s="9" t="s">
        <v>210</v>
      </c>
      <c r="G3" s="9" t="s">
        <v>211</v>
      </c>
      <c r="H3" s="61" t="s">
        <v>212</v>
      </c>
    </row>
    <row r="4" spans="1:8" ht="42" customHeight="1" x14ac:dyDescent="0.35">
      <c r="A4" s="43">
        <v>1</v>
      </c>
      <c r="B4" s="44" t="s">
        <v>213</v>
      </c>
      <c r="C4" s="44" t="s">
        <v>214</v>
      </c>
      <c r="D4" s="44" t="s">
        <v>215</v>
      </c>
      <c r="E4" s="45" t="s">
        <v>1650</v>
      </c>
      <c r="F4" s="45" t="s">
        <v>63</v>
      </c>
      <c r="G4" s="45" t="s">
        <v>1733</v>
      </c>
      <c r="H4" s="46" t="s">
        <v>216</v>
      </c>
    </row>
    <row r="5" spans="1:8" ht="49" customHeight="1" x14ac:dyDescent="0.35">
      <c r="A5" s="43">
        <v>2</v>
      </c>
      <c r="B5" s="44" t="s">
        <v>213</v>
      </c>
      <c r="C5" s="44" t="s">
        <v>217</v>
      </c>
      <c r="D5" s="44" t="s">
        <v>218</v>
      </c>
      <c r="E5" s="45" t="s">
        <v>1651</v>
      </c>
      <c r="F5" s="45" t="s">
        <v>63</v>
      </c>
      <c r="G5" s="45" t="s">
        <v>1733</v>
      </c>
      <c r="H5" s="46" t="s">
        <v>219</v>
      </c>
    </row>
    <row r="6" spans="1:8" ht="36" x14ac:dyDescent="0.35">
      <c r="A6" s="43">
        <v>3</v>
      </c>
      <c r="B6" s="44" t="s">
        <v>213</v>
      </c>
      <c r="C6" s="44" t="s">
        <v>220</v>
      </c>
      <c r="D6" s="44" t="s">
        <v>221</v>
      </c>
      <c r="E6" s="45">
        <v>153.6</v>
      </c>
      <c r="F6" s="45" t="s">
        <v>63</v>
      </c>
      <c r="G6" s="45" t="s">
        <v>1734</v>
      </c>
      <c r="H6" s="46" t="s">
        <v>222</v>
      </c>
    </row>
    <row r="7" spans="1:8" ht="44.5" customHeight="1" x14ac:dyDescent="0.35">
      <c r="A7" s="43">
        <v>4</v>
      </c>
      <c r="B7" s="44" t="s">
        <v>213</v>
      </c>
      <c r="C7" s="44" t="s">
        <v>223</v>
      </c>
      <c r="D7" s="44" t="s">
        <v>221</v>
      </c>
      <c r="E7" s="45">
        <v>207.8</v>
      </c>
      <c r="F7" s="45" t="s">
        <v>63</v>
      </c>
      <c r="G7" s="45" t="s">
        <v>1733</v>
      </c>
      <c r="H7" s="46" t="s">
        <v>224</v>
      </c>
    </row>
    <row r="8" spans="1:8" ht="26.25" customHeight="1" x14ac:dyDescent="0.35">
      <c r="A8" s="43">
        <v>5</v>
      </c>
      <c r="B8" s="44" t="s">
        <v>213</v>
      </c>
      <c r="C8" s="44" t="s">
        <v>225</v>
      </c>
      <c r="D8" s="44" t="s">
        <v>221</v>
      </c>
      <c r="E8" s="45">
        <v>207.8</v>
      </c>
      <c r="F8" s="45" t="s">
        <v>63</v>
      </c>
      <c r="G8" s="45" t="s">
        <v>1722</v>
      </c>
      <c r="H8" s="46" t="s">
        <v>226</v>
      </c>
    </row>
    <row r="9" spans="1:8" ht="36" x14ac:dyDescent="0.35">
      <c r="A9" s="43">
        <v>7</v>
      </c>
      <c r="B9" s="44" t="s">
        <v>213</v>
      </c>
      <c r="C9" s="44" t="s">
        <v>227</v>
      </c>
      <c r="D9" s="44" t="s">
        <v>228</v>
      </c>
      <c r="E9" s="45" t="s">
        <v>1657</v>
      </c>
      <c r="F9" s="45" t="s">
        <v>63</v>
      </c>
      <c r="G9" s="45" t="s">
        <v>1734</v>
      </c>
      <c r="H9" s="46" t="s">
        <v>229</v>
      </c>
    </row>
    <row r="10" spans="1:8" ht="32" customHeight="1" x14ac:dyDescent="0.35">
      <c r="A10" s="43">
        <v>8</v>
      </c>
      <c r="B10" s="44" t="s">
        <v>213</v>
      </c>
      <c r="C10" s="44" t="s">
        <v>230</v>
      </c>
      <c r="D10" s="44" t="s">
        <v>221</v>
      </c>
      <c r="E10" s="45">
        <v>153.6</v>
      </c>
      <c r="F10" s="45" t="s">
        <v>63</v>
      </c>
      <c r="G10" s="45" t="s">
        <v>1734</v>
      </c>
      <c r="H10" s="46" t="s">
        <v>231</v>
      </c>
    </row>
    <row r="11" spans="1:8" ht="49.5" customHeight="1" x14ac:dyDescent="0.35">
      <c r="A11" s="43">
        <v>9</v>
      </c>
      <c r="B11" s="44" t="s">
        <v>213</v>
      </c>
      <c r="C11" s="44" t="s">
        <v>232</v>
      </c>
      <c r="D11" s="44" t="s">
        <v>218</v>
      </c>
      <c r="E11" s="45" t="s">
        <v>1652</v>
      </c>
      <c r="F11" s="45" t="s">
        <v>63</v>
      </c>
      <c r="G11" s="45" t="s">
        <v>1733</v>
      </c>
      <c r="H11" s="46" t="s">
        <v>233</v>
      </c>
    </row>
    <row r="12" spans="1:8" ht="44.5" customHeight="1" x14ac:dyDescent="0.35">
      <c r="A12" s="43">
        <v>10</v>
      </c>
      <c r="B12" s="44" t="s">
        <v>213</v>
      </c>
      <c r="C12" s="44" t="s">
        <v>234</v>
      </c>
      <c r="D12" s="44" t="s">
        <v>218</v>
      </c>
      <c r="E12" s="45" t="s">
        <v>1642</v>
      </c>
      <c r="F12" s="45" t="s">
        <v>63</v>
      </c>
      <c r="G12" s="45" t="s">
        <v>1733</v>
      </c>
      <c r="H12" s="46" t="s">
        <v>235</v>
      </c>
    </row>
    <row r="13" spans="1:8" ht="52" customHeight="1" x14ac:dyDescent="0.35">
      <c r="A13" s="43">
        <v>11</v>
      </c>
      <c r="B13" s="44" t="s">
        <v>213</v>
      </c>
      <c r="C13" s="44" t="s">
        <v>236</v>
      </c>
      <c r="D13" s="44" t="s">
        <v>215</v>
      </c>
      <c r="E13" s="45" t="s">
        <v>1653</v>
      </c>
      <c r="F13" s="45" t="s">
        <v>63</v>
      </c>
      <c r="G13" s="45" t="s">
        <v>1733</v>
      </c>
      <c r="H13" s="46" t="s">
        <v>237</v>
      </c>
    </row>
    <row r="14" spans="1:8" ht="41" customHeight="1" x14ac:dyDescent="0.35">
      <c r="A14" s="43">
        <v>12</v>
      </c>
      <c r="B14" s="44" t="s">
        <v>213</v>
      </c>
      <c r="C14" s="44" t="s">
        <v>238</v>
      </c>
      <c r="D14" s="44" t="s">
        <v>239</v>
      </c>
      <c r="E14" s="45">
        <v>220</v>
      </c>
      <c r="F14" s="45" t="s">
        <v>63</v>
      </c>
      <c r="G14" s="45" t="s">
        <v>1733</v>
      </c>
      <c r="H14" s="46" t="s">
        <v>240</v>
      </c>
    </row>
    <row r="15" spans="1:8" ht="50" customHeight="1" x14ac:dyDescent="0.35">
      <c r="A15" s="43">
        <v>13</v>
      </c>
      <c r="B15" s="44" t="s">
        <v>213</v>
      </c>
      <c r="C15" s="44" t="s">
        <v>241</v>
      </c>
      <c r="D15" s="44" t="s">
        <v>242</v>
      </c>
      <c r="E15" s="163">
        <v>46203</v>
      </c>
      <c r="F15" s="45" t="s">
        <v>63</v>
      </c>
      <c r="G15" s="45" t="s">
        <v>1733</v>
      </c>
      <c r="H15" s="46" t="s">
        <v>243</v>
      </c>
    </row>
    <row r="16" spans="1:8" ht="52.5" customHeight="1" x14ac:dyDescent="0.35">
      <c r="A16" s="43">
        <v>14</v>
      </c>
      <c r="B16" s="44" t="s">
        <v>213</v>
      </c>
      <c r="C16" s="44" t="s">
        <v>244</v>
      </c>
      <c r="D16" s="44" t="s">
        <v>215</v>
      </c>
      <c r="E16" s="45" t="s">
        <v>1654</v>
      </c>
      <c r="F16" s="45" t="s">
        <v>63</v>
      </c>
      <c r="G16" s="45" t="s">
        <v>1664</v>
      </c>
      <c r="H16" s="46" t="s">
        <v>245</v>
      </c>
    </row>
    <row r="17" spans="1:8" ht="25.5" customHeight="1" x14ac:dyDescent="0.35">
      <c r="A17" s="43">
        <v>15</v>
      </c>
      <c r="B17" s="44" t="s">
        <v>213</v>
      </c>
      <c r="C17" s="44" t="s">
        <v>246</v>
      </c>
      <c r="D17" s="44" t="s">
        <v>215</v>
      </c>
      <c r="E17" s="45" t="s">
        <v>1655</v>
      </c>
      <c r="F17" s="45" t="s">
        <v>63</v>
      </c>
      <c r="G17" s="45" t="s">
        <v>1664</v>
      </c>
      <c r="H17" s="46" t="s">
        <v>247</v>
      </c>
    </row>
    <row r="18" spans="1:8" ht="27" customHeight="1" x14ac:dyDescent="0.35">
      <c r="A18" s="43">
        <v>16</v>
      </c>
      <c r="B18" s="44" t="s">
        <v>213</v>
      </c>
      <c r="C18" s="44" t="s">
        <v>248</v>
      </c>
      <c r="D18" s="44" t="s">
        <v>215</v>
      </c>
      <c r="E18" s="45" t="s">
        <v>1721</v>
      </c>
      <c r="F18" s="45" t="s">
        <v>63</v>
      </c>
      <c r="G18" s="45" t="s">
        <v>1664</v>
      </c>
      <c r="H18" s="46" t="s">
        <v>249</v>
      </c>
    </row>
    <row r="19" spans="1:8" ht="25.5" customHeight="1" x14ac:dyDescent="0.35">
      <c r="A19" s="43">
        <v>17</v>
      </c>
      <c r="B19" s="44" t="s">
        <v>213</v>
      </c>
      <c r="C19" s="44" t="s">
        <v>250</v>
      </c>
      <c r="D19" s="44" t="s">
        <v>215</v>
      </c>
      <c r="E19" s="45" t="s">
        <v>416</v>
      </c>
      <c r="F19" s="45" t="s">
        <v>63</v>
      </c>
      <c r="G19" s="45"/>
      <c r="H19" s="46" t="s">
        <v>252</v>
      </c>
    </row>
    <row r="20" spans="1:8" ht="24" x14ac:dyDescent="0.35">
      <c r="A20" s="43">
        <v>18</v>
      </c>
      <c r="B20" s="44" t="s">
        <v>213</v>
      </c>
      <c r="C20" s="44" t="s">
        <v>253</v>
      </c>
      <c r="D20" s="44" t="s">
        <v>215</v>
      </c>
      <c r="E20" s="45" t="s">
        <v>1656</v>
      </c>
      <c r="F20" s="45" t="s">
        <v>63</v>
      </c>
      <c r="G20" s="45" t="s">
        <v>1664</v>
      </c>
      <c r="H20" s="46" t="s">
        <v>254</v>
      </c>
    </row>
    <row r="21" spans="1:8" ht="36" x14ac:dyDescent="0.35">
      <c r="A21" s="43">
        <v>19</v>
      </c>
      <c r="B21" s="44" t="s">
        <v>213</v>
      </c>
      <c r="C21" s="44" t="s">
        <v>255</v>
      </c>
      <c r="D21" s="44" t="s">
        <v>256</v>
      </c>
      <c r="E21" s="45" t="s">
        <v>416</v>
      </c>
      <c r="F21" s="45" t="s">
        <v>63</v>
      </c>
      <c r="G21" s="45"/>
      <c r="H21" s="46" t="s">
        <v>257</v>
      </c>
    </row>
    <row r="22" spans="1:8" ht="24" x14ac:dyDescent="0.35">
      <c r="A22" s="43">
        <v>20</v>
      </c>
      <c r="B22" s="44" t="s">
        <v>213</v>
      </c>
      <c r="C22" s="44" t="s">
        <v>258</v>
      </c>
      <c r="D22" s="44" t="s">
        <v>256</v>
      </c>
      <c r="E22" s="45" t="s">
        <v>1658</v>
      </c>
      <c r="F22" s="45" t="s">
        <v>63</v>
      </c>
      <c r="G22" s="45" t="s">
        <v>1664</v>
      </c>
      <c r="H22" s="46" t="s">
        <v>259</v>
      </c>
    </row>
    <row r="23" spans="1:8" ht="23" x14ac:dyDescent="0.35">
      <c r="A23" s="43">
        <v>21</v>
      </c>
      <c r="B23" s="44" t="s">
        <v>213</v>
      </c>
      <c r="C23" s="44" t="s">
        <v>260</v>
      </c>
      <c r="D23" s="44" t="s">
        <v>256</v>
      </c>
      <c r="E23" s="45" t="s">
        <v>416</v>
      </c>
      <c r="F23" s="45" t="s">
        <v>63</v>
      </c>
      <c r="G23" s="45"/>
      <c r="H23" s="46" t="s">
        <v>261</v>
      </c>
    </row>
    <row r="24" spans="1:8" ht="24" x14ac:dyDescent="0.35">
      <c r="A24" s="43">
        <v>22</v>
      </c>
      <c r="B24" s="44" t="s">
        <v>213</v>
      </c>
      <c r="C24" s="44" t="s">
        <v>262</v>
      </c>
      <c r="D24" s="44" t="s">
        <v>263</v>
      </c>
      <c r="E24" s="45" t="s">
        <v>1659</v>
      </c>
      <c r="F24" s="45" t="s">
        <v>63</v>
      </c>
      <c r="G24" s="45" t="s">
        <v>1664</v>
      </c>
      <c r="H24" s="46" t="s">
        <v>264</v>
      </c>
    </row>
    <row r="25" spans="1:8" ht="34.5" x14ac:dyDescent="0.35">
      <c r="A25" s="43">
        <v>23</v>
      </c>
      <c r="B25" s="44" t="s">
        <v>213</v>
      </c>
      <c r="C25" s="44" t="s">
        <v>265</v>
      </c>
      <c r="D25" s="44" t="s">
        <v>215</v>
      </c>
      <c r="E25" s="45" t="s">
        <v>1660</v>
      </c>
      <c r="F25" s="45" t="s">
        <v>63</v>
      </c>
      <c r="G25" s="45" t="s">
        <v>1664</v>
      </c>
      <c r="H25" s="46" t="s">
        <v>266</v>
      </c>
    </row>
    <row r="26" spans="1:8" ht="36" x14ac:dyDescent="0.35">
      <c r="A26" s="43">
        <v>24</v>
      </c>
      <c r="B26" s="44" t="s">
        <v>213</v>
      </c>
      <c r="C26" s="44" t="s">
        <v>267</v>
      </c>
      <c r="D26" s="44" t="s">
        <v>268</v>
      </c>
      <c r="E26" s="45" t="s">
        <v>1662</v>
      </c>
      <c r="F26" s="45" t="s">
        <v>63</v>
      </c>
      <c r="G26" s="45" t="s">
        <v>1664</v>
      </c>
      <c r="H26" s="46" t="s">
        <v>269</v>
      </c>
    </row>
    <row r="27" spans="1:8" ht="34.5" x14ac:dyDescent="0.35">
      <c r="A27" s="43">
        <v>25</v>
      </c>
      <c r="B27" s="44" t="s">
        <v>213</v>
      </c>
      <c r="C27" s="44" t="s">
        <v>270</v>
      </c>
      <c r="D27" s="44" t="s">
        <v>218</v>
      </c>
      <c r="E27" s="164" t="s">
        <v>1661</v>
      </c>
      <c r="F27" s="45" t="s">
        <v>63</v>
      </c>
      <c r="G27" s="45" t="s">
        <v>1664</v>
      </c>
      <c r="H27" s="46" t="s">
        <v>271</v>
      </c>
    </row>
    <row r="28" spans="1:8" ht="36" x14ac:dyDescent="0.35">
      <c r="A28" s="43">
        <v>26</v>
      </c>
      <c r="B28" s="44" t="s">
        <v>213</v>
      </c>
      <c r="C28" s="44" t="s">
        <v>272</v>
      </c>
      <c r="D28" s="44" t="s">
        <v>273</v>
      </c>
      <c r="E28" s="45" t="s">
        <v>1663</v>
      </c>
      <c r="F28" s="45" t="s">
        <v>63</v>
      </c>
      <c r="G28" s="45" t="s">
        <v>1722</v>
      </c>
      <c r="H28" s="46" t="s">
        <v>274</v>
      </c>
    </row>
    <row r="29" spans="1:8" ht="45" customHeight="1" x14ac:dyDescent="0.35">
      <c r="A29" s="43">
        <v>27</v>
      </c>
      <c r="B29" s="44" t="s">
        <v>213</v>
      </c>
      <c r="C29" s="44" t="s">
        <v>275</v>
      </c>
      <c r="D29" s="44" t="s">
        <v>276</v>
      </c>
      <c r="E29" s="45" t="s">
        <v>277</v>
      </c>
      <c r="F29" s="45" t="s">
        <v>63</v>
      </c>
      <c r="G29" s="45" t="s">
        <v>1733</v>
      </c>
      <c r="H29" s="46" t="s">
        <v>278</v>
      </c>
    </row>
    <row r="30" spans="1:8" ht="36" x14ac:dyDescent="0.35">
      <c r="A30" s="43"/>
      <c r="B30" s="78" t="s">
        <v>213</v>
      </c>
      <c r="C30" s="78" t="s">
        <v>279</v>
      </c>
      <c r="D30" s="44" t="s">
        <v>276</v>
      </c>
      <c r="E30" s="45" t="s">
        <v>277</v>
      </c>
      <c r="F30" s="75" t="s">
        <v>63</v>
      </c>
      <c r="G30" s="45" t="s">
        <v>1723</v>
      </c>
      <c r="H30" s="46" t="s">
        <v>280</v>
      </c>
    </row>
    <row r="31" spans="1:8" ht="36" x14ac:dyDescent="0.35">
      <c r="A31" s="43"/>
      <c r="B31" s="78" t="s">
        <v>213</v>
      </c>
      <c r="C31" s="78" t="s">
        <v>281</v>
      </c>
      <c r="D31" s="44" t="s">
        <v>276</v>
      </c>
      <c r="E31" s="45" t="s">
        <v>277</v>
      </c>
      <c r="F31" s="75" t="s">
        <v>63</v>
      </c>
      <c r="G31" s="45" t="s">
        <v>1724</v>
      </c>
      <c r="H31" s="46" t="s">
        <v>280</v>
      </c>
    </row>
    <row r="32" spans="1:8" ht="36" x14ac:dyDescent="0.35">
      <c r="A32" s="43"/>
      <c r="B32" s="78" t="s">
        <v>213</v>
      </c>
      <c r="C32" s="78" t="s">
        <v>282</v>
      </c>
      <c r="D32" s="44" t="s">
        <v>276</v>
      </c>
      <c r="E32" s="45" t="s">
        <v>277</v>
      </c>
      <c r="F32" s="75" t="s">
        <v>63</v>
      </c>
      <c r="G32" s="45" t="s">
        <v>1725</v>
      </c>
      <c r="H32" s="46" t="s">
        <v>280</v>
      </c>
    </row>
    <row r="33" spans="1:8" ht="36" x14ac:dyDescent="0.35">
      <c r="A33" s="77">
        <v>28</v>
      </c>
      <c r="B33" s="44" t="s">
        <v>213</v>
      </c>
      <c r="C33" s="44" t="s">
        <v>283</v>
      </c>
      <c r="D33" s="43" t="s">
        <v>284</v>
      </c>
      <c r="E33" s="54" t="s">
        <v>1726</v>
      </c>
      <c r="F33" s="75" t="s">
        <v>63</v>
      </c>
      <c r="G33" s="54"/>
      <c r="H33" s="46" t="s">
        <v>285</v>
      </c>
    </row>
    <row r="34" spans="1:8" x14ac:dyDescent="0.35">
      <c r="C34" s="44" t="s">
        <v>286</v>
      </c>
      <c r="D34" s="43" t="s">
        <v>287</v>
      </c>
      <c r="E34" s="54">
        <v>42.6</v>
      </c>
      <c r="F34" s="75" t="s">
        <v>63</v>
      </c>
      <c r="G34" s="45" t="s">
        <v>1722</v>
      </c>
    </row>
    <row r="35" spans="1:8" x14ac:dyDescent="0.35">
      <c r="A35" s="47"/>
      <c r="B35" s="48"/>
      <c r="C35" s="48"/>
      <c r="D35" s="48"/>
      <c r="E35" s="49"/>
      <c r="F35" s="49"/>
      <c r="G35" s="49"/>
    </row>
    <row r="36" spans="1:8" x14ac:dyDescent="0.35">
      <c r="A36" s="47"/>
      <c r="B36" s="48"/>
      <c r="C36" s="48"/>
      <c r="D36" s="48"/>
      <c r="E36" s="49"/>
      <c r="F36" s="49"/>
      <c r="G36" s="49"/>
    </row>
    <row r="38" spans="1:8" ht="18" customHeight="1" x14ac:dyDescent="0.35">
      <c r="A38" s="165" t="s">
        <v>288</v>
      </c>
      <c r="B38" s="165"/>
      <c r="C38" s="165"/>
      <c r="D38" s="165"/>
      <c r="E38" s="165"/>
      <c r="F38" s="165"/>
      <c r="G38" s="165"/>
    </row>
    <row r="40" spans="1:8" ht="15" customHeight="1" x14ac:dyDescent="0.35">
      <c r="A40" s="166" t="s">
        <v>289</v>
      </c>
      <c r="B40" s="166"/>
      <c r="C40" s="166"/>
      <c r="D40" s="166"/>
      <c r="E40" s="166"/>
      <c r="F40" s="166"/>
      <c r="G40" s="166"/>
    </row>
    <row r="41" spans="1:8" ht="80.25" customHeight="1" x14ac:dyDescent="0.35">
      <c r="A41" s="166"/>
      <c r="B41" s="166"/>
      <c r="C41" s="166"/>
      <c r="D41" s="166"/>
      <c r="E41" s="166"/>
      <c r="F41" s="166"/>
      <c r="G41" s="166"/>
    </row>
  </sheetData>
  <autoFilter ref="A3:H3" xr:uid="{00000000-0001-0000-0300-000000000000}"/>
  <dataConsolidate/>
  <mergeCells count="2">
    <mergeCell ref="A38:G38"/>
    <mergeCell ref="A40:G41"/>
  </mergeCells>
  <conditionalFormatting sqref="F4:F34">
    <cfRule type="cellIs" dxfId="46" priority="2" operator="equal">
      <formula>"Submitted"</formula>
    </cfRule>
    <cfRule type="cellIs" dxfId="45" priority="3" operator="equal">
      <formula>"Awaited"</formula>
    </cfRule>
    <cfRule type="cellIs" dxfId="44" priority="4" operator="equal">
      <formula>"Not Applicable"</formula>
    </cfRule>
  </conditionalFormatting>
  <dataValidations xWindow="1307" yWindow="862" count="2">
    <dataValidation type="list" allowBlank="1" showInputMessage="1" showErrorMessage="1" errorTitle="Invalid entry" error="Allowed: Submitted, Awaited, Not Applicable" promptTitle="Valid options" prompt="Select submission status" sqref="F4:F34" xr:uid="{00000000-0002-0000-0300-000000000000}">
      <formula1>"Submitted,Awaited,Not Applicable"</formula1>
      <formula2>0</formula2>
    </dataValidation>
    <dataValidation type="custom" showInputMessage="1" showErrorMessage="1" errorTitle="File name required" error="Enter a file name or 'Not Applicable'" promptTitle="File Name" prompt="Enter file/folder name, e.g. Project_Info.pdf" sqref="G4:G32 G34" xr:uid="{00000000-0002-0000-0300-000001000000}">
      <formula1>OR(G4="Not Applicable",LEN(G4)&gt;3)</formula1>
      <formula2>0</formula2>
    </dataValidation>
  </dataValidations>
  <pageMargins left="0.75" right="0.75" top="1" bottom="1" header="0.511811023622047" footer="0.511811023622047"/>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100"/>
  <sheetViews>
    <sheetView showGridLines="0" zoomScaleNormal="100" workbookViewId="0">
      <pane xSplit="3" ySplit="3" topLeftCell="G58" activePane="bottomRight" state="frozen"/>
      <selection pane="topRight" activeCell="D1" sqref="D1"/>
      <selection pane="bottomLeft" activeCell="A4" sqref="A4"/>
      <selection pane="bottomRight" activeCell="J58" sqref="J58"/>
    </sheetView>
  </sheetViews>
  <sheetFormatPr defaultColWidth="8.6328125" defaultRowHeight="14.5" x14ac:dyDescent="0.35"/>
  <cols>
    <col min="1" max="2" width="10" customWidth="1"/>
    <col min="3" max="3" width="45" customWidth="1"/>
    <col min="4" max="4" width="17" hidden="1" customWidth="1"/>
    <col min="5" max="5" width="17" customWidth="1"/>
    <col min="6" max="6" width="17" style="95" customWidth="1"/>
    <col min="7" max="8" width="16" customWidth="1"/>
    <col min="9" max="9" width="16.08984375" customWidth="1"/>
    <col min="10" max="10" width="57.81640625" bestFit="1" customWidth="1"/>
    <col min="11" max="11" width="24.08984375" customWidth="1"/>
    <col min="12" max="12" width="22.08984375" customWidth="1"/>
    <col min="13" max="13" width="60" customWidth="1"/>
  </cols>
  <sheetData>
    <row r="1" spans="1:13" ht="15.75" customHeight="1" x14ac:dyDescent="0.35">
      <c r="A1" s="50" t="s">
        <v>290</v>
      </c>
      <c r="F1" s="157"/>
    </row>
    <row r="2" spans="1:13" x14ac:dyDescent="0.35">
      <c r="F2" s="157"/>
    </row>
    <row r="3" spans="1:13" ht="23" x14ac:dyDescent="0.35">
      <c r="A3" s="9" t="s">
        <v>291</v>
      </c>
      <c r="B3" s="9" t="s">
        <v>105</v>
      </c>
      <c r="C3" s="9" t="s">
        <v>292</v>
      </c>
      <c r="D3" s="9" t="s">
        <v>208</v>
      </c>
      <c r="E3" s="97" t="s">
        <v>293</v>
      </c>
      <c r="F3" s="137" t="s">
        <v>294</v>
      </c>
      <c r="G3" s="99" t="s">
        <v>123</v>
      </c>
      <c r="H3" s="9" t="s">
        <v>295</v>
      </c>
      <c r="I3" s="9" t="s">
        <v>296</v>
      </c>
      <c r="J3" s="9" t="s">
        <v>297</v>
      </c>
      <c r="K3" s="9" t="s">
        <v>298</v>
      </c>
      <c r="L3" s="9" t="s">
        <v>68</v>
      </c>
      <c r="M3" s="42" t="s">
        <v>212</v>
      </c>
    </row>
    <row r="4" spans="1:13" ht="24" x14ac:dyDescent="0.35">
      <c r="A4" s="43">
        <v>1</v>
      </c>
      <c r="B4" s="44" t="s">
        <v>213</v>
      </c>
      <c r="C4" s="44" t="s">
        <v>299</v>
      </c>
      <c r="D4" s="43" t="s">
        <v>300</v>
      </c>
      <c r="E4" s="43"/>
      <c r="F4" s="132"/>
      <c r="G4" s="161">
        <v>84</v>
      </c>
      <c r="H4" s="43">
        <v>100</v>
      </c>
      <c r="I4" s="43">
        <v>100</v>
      </c>
      <c r="J4" s="54" t="s">
        <v>1643</v>
      </c>
      <c r="K4" s="53">
        <v>49</v>
      </c>
      <c r="L4" s="54"/>
      <c r="M4" s="46" t="s">
        <v>301</v>
      </c>
    </row>
    <row r="5" spans="1:13" ht="24" x14ac:dyDescent="0.35">
      <c r="A5" s="43">
        <v>2</v>
      </c>
      <c r="B5" s="44" t="s">
        <v>213</v>
      </c>
      <c r="C5" s="44" t="s">
        <v>302</v>
      </c>
      <c r="D5" s="43" t="s">
        <v>300</v>
      </c>
      <c r="E5" s="43"/>
      <c r="F5" s="132"/>
      <c r="G5" s="53">
        <v>88</v>
      </c>
      <c r="H5" s="43">
        <v>100</v>
      </c>
      <c r="I5" s="43">
        <v>100</v>
      </c>
      <c r="J5" s="54" t="s">
        <v>1643</v>
      </c>
      <c r="K5" s="53">
        <v>65</v>
      </c>
      <c r="L5" s="54"/>
      <c r="M5" s="46" t="s">
        <v>303</v>
      </c>
    </row>
    <row r="6" spans="1:13" ht="36" x14ac:dyDescent="0.35">
      <c r="A6" s="43"/>
      <c r="B6" s="44" t="s">
        <v>213</v>
      </c>
      <c r="C6" s="44" t="s">
        <v>304</v>
      </c>
      <c r="D6" s="43" t="s">
        <v>300</v>
      </c>
      <c r="E6" s="43"/>
      <c r="F6" s="132"/>
      <c r="G6" s="53">
        <v>92</v>
      </c>
      <c r="H6" s="43">
        <v>100</v>
      </c>
      <c r="I6" s="43">
        <v>100</v>
      </c>
      <c r="J6" s="54" t="s">
        <v>1643</v>
      </c>
      <c r="K6" s="53">
        <v>49</v>
      </c>
      <c r="L6" s="54"/>
      <c r="M6" s="46" t="s">
        <v>305</v>
      </c>
    </row>
    <row r="7" spans="1:13" ht="36" x14ac:dyDescent="0.35">
      <c r="A7" s="43">
        <v>3</v>
      </c>
      <c r="B7" s="44" t="s">
        <v>213</v>
      </c>
      <c r="C7" s="44" t="s">
        <v>306</v>
      </c>
      <c r="D7" s="43" t="s">
        <v>307</v>
      </c>
      <c r="E7" s="43"/>
      <c r="F7" s="132"/>
      <c r="G7" s="53">
        <v>100</v>
      </c>
      <c r="H7" s="43">
        <v>100</v>
      </c>
      <c r="I7" s="43">
        <v>100</v>
      </c>
      <c r="J7" s="54" t="s">
        <v>1643</v>
      </c>
      <c r="K7" s="53">
        <v>49</v>
      </c>
      <c r="L7" s="54"/>
      <c r="M7" s="46" t="s">
        <v>308</v>
      </c>
    </row>
    <row r="8" spans="1:13" ht="36" x14ac:dyDescent="0.35">
      <c r="A8" s="43">
        <v>7</v>
      </c>
      <c r="B8" s="44" t="s">
        <v>213</v>
      </c>
      <c r="C8" s="44" t="s">
        <v>309</v>
      </c>
      <c r="D8" s="43" t="s">
        <v>310</v>
      </c>
      <c r="E8" s="43"/>
      <c r="F8" s="132"/>
      <c r="G8" s="53">
        <v>1.0999000000000001</v>
      </c>
      <c r="H8" s="43">
        <v>1.1000000000000001</v>
      </c>
      <c r="I8" s="43">
        <v>1.1000000000000001</v>
      </c>
      <c r="J8" s="54" t="s">
        <v>1643</v>
      </c>
      <c r="K8" s="53">
        <v>47</v>
      </c>
      <c r="L8" s="54"/>
      <c r="M8" s="46" t="s">
        <v>311</v>
      </c>
    </row>
    <row r="9" spans="1:13" ht="24" x14ac:dyDescent="0.35">
      <c r="A9" s="43">
        <v>8</v>
      </c>
      <c r="B9" s="44" t="s">
        <v>213</v>
      </c>
      <c r="C9" s="44" t="s">
        <v>312</v>
      </c>
      <c r="D9" s="43" t="s">
        <v>310</v>
      </c>
      <c r="E9" s="43"/>
      <c r="F9" s="132"/>
      <c r="G9" s="53">
        <v>0.92090000000000005</v>
      </c>
      <c r="H9" s="43">
        <v>0.9</v>
      </c>
      <c r="I9" s="43">
        <v>0.9</v>
      </c>
      <c r="J9" s="54" t="s">
        <v>1643</v>
      </c>
      <c r="K9" s="53">
        <v>47</v>
      </c>
      <c r="L9" s="54"/>
      <c r="M9" s="46" t="s">
        <v>313</v>
      </c>
    </row>
    <row r="10" spans="1:13" ht="39" customHeight="1" x14ac:dyDescent="0.35">
      <c r="A10" s="43">
        <v>12</v>
      </c>
      <c r="B10" s="44" t="s">
        <v>213</v>
      </c>
      <c r="C10" s="44" t="s">
        <v>314</v>
      </c>
      <c r="D10" s="43" t="s">
        <v>310</v>
      </c>
      <c r="E10" s="141">
        <v>1</v>
      </c>
      <c r="F10" s="138" t="s">
        <v>315</v>
      </c>
      <c r="G10" s="143">
        <v>0.01</v>
      </c>
      <c r="H10" s="43">
        <f>-0.3286*'General Details-RE'!E10/100</f>
        <v>-0.5047296</v>
      </c>
      <c r="I10" s="43">
        <f>0.3286*'General Details-RE'!E10/100</f>
        <v>0.5047296</v>
      </c>
      <c r="J10" s="54" t="s">
        <v>1643</v>
      </c>
      <c r="K10" s="53">
        <v>47</v>
      </c>
      <c r="L10" s="54"/>
      <c r="M10" s="46" t="s">
        <v>316</v>
      </c>
    </row>
    <row r="11" spans="1:13" ht="24" x14ac:dyDescent="0.35">
      <c r="A11" s="43">
        <v>13</v>
      </c>
      <c r="B11" s="44" t="s">
        <v>213</v>
      </c>
      <c r="C11" s="44" t="s">
        <v>317</v>
      </c>
      <c r="D11" s="43" t="s">
        <v>310</v>
      </c>
      <c r="E11" s="141">
        <v>1</v>
      </c>
      <c r="F11" s="138" t="s">
        <v>318</v>
      </c>
      <c r="G11" s="143">
        <v>0.27</v>
      </c>
      <c r="H11" s="43">
        <v>0</v>
      </c>
      <c r="I11" s="43">
        <v>1</v>
      </c>
      <c r="J11" s="54" t="s">
        <v>1643</v>
      </c>
      <c r="K11" s="53">
        <v>47</v>
      </c>
      <c r="L11" s="54"/>
      <c r="M11" s="46" t="s">
        <v>319</v>
      </c>
    </row>
    <row r="12" spans="1:13" ht="24" x14ac:dyDescent="0.35">
      <c r="A12" s="43">
        <v>14</v>
      </c>
      <c r="B12" s="44" t="s">
        <v>213</v>
      </c>
      <c r="C12" s="44" t="s">
        <v>320</v>
      </c>
      <c r="D12" s="43" t="s">
        <v>310</v>
      </c>
      <c r="E12" s="141">
        <v>1</v>
      </c>
      <c r="F12" s="138" t="s">
        <v>321</v>
      </c>
      <c r="G12" s="143">
        <v>0</v>
      </c>
      <c r="H12" s="43">
        <v>-1</v>
      </c>
      <c r="I12" s="43">
        <v>1</v>
      </c>
      <c r="J12" s="54" t="s">
        <v>1643</v>
      </c>
      <c r="K12" s="53">
        <v>47</v>
      </c>
      <c r="L12" s="54"/>
      <c r="M12" s="46" t="s">
        <v>322</v>
      </c>
    </row>
    <row r="13" spans="1:13" ht="24" x14ac:dyDescent="0.35">
      <c r="A13" s="43">
        <v>16</v>
      </c>
      <c r="B13" s="44" t="s">
        <v>213</v>
      </c>
      <c r="C13" s="44" t="s">
        <v>323</v>
      </c>
      <c r="D13" s="43" t="s">
        <v>310</v>
      </c>
      <c r="E13" s="141">
        <v>1</v>
      </c>
      <c r="F13" s="138" t="s">
        <v>324</v>
      </c>
      <c r="G13" s="143">
        <v>1</v>
      </c>
      <c r="H13" s="43">
        <v>-1</v>
      </c>
      <c r="I13" s="43">
        <v>1</v>
      </c>
      <c r="J13" s="54" t="s">
        <v>1643</v>
      </c>
      <c r="K13" s="53">
        <v>47</v>
      </c>
      <c r="L13" s="54"/>
      <c r="M13" s="46" t="s">
        <v>325</v>
      </c>
    </row>
    <row r="14" spans="1:13" ht="24" x14ac:dyDescent="0.35">
      <c r="A14" s="43">
        <v>17</v>
      </c>
      <c r="B14" s="44" t="s">
        <v>213</v>
      </c>
      <c r="C14" s="44" t="s">
        <v>326</v>
      </c>
      <c r="D14" s="43" t="s">
        <v>310</v>
      </c>
      <c r="E14" s="141">
        <v>1</v>
      </c>
      <c r="F14" s="138" t="s">
        <v>327</v>
      </c>
      <c r="G14" s="143">
        <v>1</v>
      </c>
      <c r="H14" s="43">
        <v>0</v>
      </c>
      <c r="I14" s="43">
        <v>1</v>
      </c>
      <c r="J14" s="54" t="s">
        <v>1643</v>
      </c>
      <c r="K14" s="53">
        <v>47</v>
      </c>
      <c r="L14" s="54"/>
      <c r="M14" s="46" t="s">
        <v>328</v>
      </c>
    </row>
    <row r="15" spans="1:13" ht="24" x14ac:dyDescent="0.35">
      <c r="A15" s="43">
        <v>18</v>
      </c>
      <c r="B15" s="44" t="s">
        <v>213</v>
      </c>
      <c r="C15" s="44" t="s">
        <v>329</v>
      </c>
      <c r="D15" s="43" t="s">
        <v>310</v>
      </c>
      <c r="E15" s="141">
        <v>1</v>
      </c>
      <c r="F15" s="138" t="s">
        <v>330</v>
      </c>
      <c r="G15" s="143">
        <v>0</v>
      </c>
      <c r="H15" s="43">
        <v>0</v>
      </c>
      <c r="I15" s="43">
        <v>1</v>
      </c>
      <c r="J15" s="54" t="s">
        <v>1643</v>
      </c>
      <c r="K15" s="53">
        <v>47</v>
      </c>
      <c r="L15" s="54"/>
      <c r="M15" s="46" t="s">
        <v>331</v>
      </c>
    </row>
    <row r="16" spans="1:13" ht="24" x14ac:dyDescent="0.35">
      <c r="A16" s="43">
        <v>17</v>
      </c>
      <c r="B16" s="44" t="s">
        <v>213</v>
      </c>
      <c r="C16" s="44" t="s">
        <v>1595</v>
      </c>
      <c r="D16" s="43" t="s">
        <v>310</v>
      </c>
      <c r="E16" s="141">
        <v>1</v>
      </c>
      <c r="F16" s="138" t="s">
        <v>327</v>
      </c>
      <c r="G16" s="143" t="s">
        <v>251</v>
      </c>
      <c r="H16" s="43">
        <v>0</v>
      </c>
      <c r="I16" s="43">
        <v>1</v>
      </c>
      <c r="J16" s="54" t="s">
        <v>1643</v>
      </c>
      <c r="K16" s="53">
        <v>47</v>
      </c>
      <c r="L16" s="54"/>
      <c r="M16" s="46" t="s">
        <v>328</v>
      </c>
    </row>
    <row r="17" spans="1:13" ht="24" x14ac:dyDescent="0.35">
      <c r="A17" s="43">
        <v>18</v>
      </c>
      <c r="B17" s="44" t="s">
        <v>213</v>
      </c>
      <c r="C17" s="44" t="s">
        <v>1596</v>
      </c>
      <c r="D17" s="43" t="s">
        <v>310</v>
      </c>
      <c r="E17" s="141">
        <v>1</v>
      </c>
      <c r="F17" s="138" t="s">
        <v>330</v>
      </c>
      <c r="G17" s="143" t="s">
        <v>251</v>
      </c>
      <c r="H17" s="43">
        <v>0</v>
      </c>
      <c r="I17" s="43">
        <v>1</v>
      </c>
      <c r="J17" s="54" t="s">
        <v>1643</v>
      </c>
      <c r="K17" s="53">
        <v>47</v>
      </c>
      <c r="L17" s="54"/>
      <c r="M17" s="46" t="s">
        <v>331</v>
      </c>
    </row>
    <row r="18" spans="1:13" ht="36" x14ac:dyDescent="0.35">
      <c r="A18" s="43">
        <v>33</v>
      </c>
      <c r="B18" s="44" t="s">
        <v>213</v>
      </c>
      <c r="C18" s="44" t="s">
        <v>332</v>
      </c>
      <c r="D18" s="43" t="s">
        <v>310</v>
      </c>
      <c r="E18" s="141">
        <v>0.95</v>
      </c>
      <c r="F18" s="138" t="s">
        <v>315</v>
      </c>
      <c r="G18" s="143">
        <v>-0.01</v>
      </c>
      <c r="H18" s="43">
        <v>0</v>
      </c>
      <c r="I18" s="43">
        <v>1.643</v>
      </c>
      <c r="J18" s="54" t="s">
        <v>1643</v>
      </c>
      <c r="K18" s="53">
        <v>47</v>
      </c>
      <c r="L18" s="54"/>
      <c r="M18" s="46" t="s">
        <v>333</v>
      </c>
    </row>
    <row r="19" spans="1:13" x14ac:dyDescent="0.35">
      <c r="A19" s="43">
        <v>34</v>
      </c>
      <c r="B19" s="44" t="s">
        <v>213</v>
      </c>
      <c r="C19" s="44" t="s">
        <v>334</v>
      </c>
      <c r="D19" s="43" t="s">
        <v>310</v>
      </c>
      <c r="E19" s="141">
        <v>0.95</v>
      </c>
      <c r="F19" s="138" t="s">
        <v>318</v>
      </c>
      <c r="G19" s="143">
        <v>0.28000000000000003</v>
      </c>
      <c r="H19" s="43">
        <v>0</v>
      </c>
      <c r="I19" s="43">
        <v>1</v>
      </c>
      <c r="J19" s="54" t="s">
        <v>1643</v>
      </c>
      <c r="K19" s="53">
        <v>47</v>
      </c>
      <c r="L19" s="54"/>
      <c r="M19" s="46" t="s">
        <v>335</v>
      </c>
    </row>
    <row r="20" spans="1:13" ht="24" x14ac:dyDescent="0.35">
      <c r="A20" s="43">
        <v>35</v>
      </c>
      <c r="B20" s="44" t="s">
        <v>213</v>
      </c>
      <c r="C20" s="44" t="s">
        <v>336</v>
      </c>
      <c r="D20" s="43" t="s">
        <v>310</v>
      </c>
      <c r="E20" s="141">
        <v>0.95</v>
      </c>
      <c r="F20" s="138" t="s">
        <v>321</v>
      </c>
      <c r="G20" s="143">
        <v>0</v>
      </c>
      <c r="H20" s="43">
        <v>0</v>
      </c>
      <c r="I20" s="43">
        <v>1</v>
      </c>
      <c r="J20" s="54" t="s">
        <v>1643</v>
      </c>
      <c r="K20" s="53">
        <v>47</v>
      </c>
      <c r="L20" s="54"/>
      <c r="M20" s="46" t="s">
        <v>337</v>
      </c>
    </row>
    <row r="21" spans="1:13" s="111" customFormat="1" x14ac:dyDescent="0.35">
      <c r="A21" s="133">
        <v>36</v>
      </c>
      <c r="B21" s="134" t="s">
        <v>213</v>
      </c>
      <c r="C21" s="134" t="s">
        <v>338</v>
      </c>
      <c r="D21" s="133" t="s">
        <v>310</v>
      </c>
      <c r="E21" s="142">
        <v>0.95</v>
      </c>
      <c r="F21" s="139"/>
      <c r="G21" s="144" t="s">
        <v>339</v>
      </c>
      <c r="H21" s="133">
        <v>0</v>
      </c>
      <c r="I21" s="133">
        <v>1</v>
      </c>
      <c r="J21" s="135" t="s">
        <v>1644</v>
      </c>
      <c r="K21" s="162" t="s">
        <v>1645</v>
      </c>
      <c r="L21" s="135"/>
      <c r="M21" s="136" t="s">
        <v>340</v>
      </c>
    </row>
    <row r="22" spans="1:13" x14ac:dyDescent="0.35">
      <c r="A22" s="43">
        <v>37</v>
      </c>
      <c r="B22" s="44" t="s">
        <v>213</v>
      </c>
      <c r="C22" s="44" t="s">
        <v>341</v>
      </c>
      <c r="D22" s="43" t="s">
        <v>310</v>
      </c>
      <c r="E22" s="141">
        <v>0.95</v>
      </c>
      <c r="F22" s="138" t="s">
        <v>324</v>
      </c>
      <c r="G22" s="143">
        <v>1</v>
      </c>
      <c r="H22" s="43">
        <v>0</v>
      </c>
      <c r="I22" s="43">
        <v>1</v>
      </c>
      <c r="J22" s="54" t="s">
        <v>1643</v>
      </c>
      <c r="K22" s="53">
        <v>47</v>
      </c>
      <c r="L22" s="54"/>
      <c r="M22" s="46" t="s">
        <v>342</v>
      </c>
    </row>
    <row r="23" spans="1:13" x14ac:dyDescent="0.35">
      <c r="A23" s="43">
        <v>38</v>
      </c>
      <c r="B23" s="44" t="s">
        <v>213</v>
      </c>
      <c r="C23" s="44" t="s">
        <v>343</v>
      </c>
      <c r="D23" s="43" t="s">
        <v>310</v>
      </c>
      <c r="E23" s="141">
        <v>0.95</v>
      </c>
      <c r="F23" s="138" t="s">
        <v>327</v>
      </c>
      <c r="G23" s="143">
        <v>1</v>
      </c>
      <c r="H23" s="43">
        <v>0</v>
      </c>
      <c r="I23" s="43">
        <v>1</v>
      </c>
      <c r="J23" s="54" t="s">
        <v>1643</v>
      </c>
      <c r="K23" s="53">
        <v>47</v>
      </c>
      <c r="L23" s="54"/>
      <c r="M23" s="46" t="s">
        <v>345</v>
      </c>
    </row>
    <row r="24" spans="1:13" x14ac:dyDescent="0.35">
      <c r="A24" s="43">
        <v>39</v>
      </c>
      <c r="B24" s="44" t="s">
        <v>213</v>
      </c>
      <c r="C24" s="44" t="s">
        <v>346</v>
      </c>
      <c r="D24" s="43" t="s">
        <v>310</v>
      </c>
      <c r="E24" s="141">
        <v>0.95</v>
      </c>
      <c r="F24" s="138" t="s">
        <v>330</v>
      </c>
      <c r="G24" s="143">
        <v>0</v>
      </c>
      <c r="H24" s="43">
        <v>0</v>
      </c>
      <c r="I24" s="43">
        <v>1</v>
      </c>
      <c r="J24" s="54" t="s">
        <v>1643</v>
      </c>
      <c r="K24" s="53">
        <v>47</v>
      </c>
      <c r="L24" s="54"/>
      <c r="M24" s="46" t="s">
        <v>347</v>
      </c>
    </row>
    <row r="25" spans="1:13" ht="24" x14ac:dyDescent="0.35">
      <c r="A25" s="43">
        <v>40</v>
      </c>
      <c r="B25" s="44" t="s">
        <v>213</v>
      </c>
      <c r="C25" s="44" t="s">
        <v>348</v>
      </c>
      <c r="D25" s="43" t="s">
        <v>310</v>
      </c>
      <c r="E25" s="141">
        <v>0.95</v>
      </c>
      <c r="F25" s="138" t="s">
        <v>315</v>
      </c>
      <c r="G25" s="143">
        <v>0.33</v>
      </c>
      <c r="H25" s="43">
        <v>0</v>
      </c>
      <c r="I25" s="43">
        <v>1.643</v>
      </c>
      <c r="J25" s="54" t="s">
        <v>1643</v>
      </c>
      <c r="K25" s="53">
        <v>47</v>
      </c>
      <c r="L25" s="54"/>
      <c r="M25" s="46" t="s">
        <v>349</v>
      </c>
    </row>
    <row r="26" spans="1:13" ht="16.5" customHeight="1" x14ac:dyDescent="0.35">
      <c r="A26" s="43">
        <v>41</v>
      </c>
      <c r="B26" s="44" t="s">
        <v>213</v>
      </c>
      <c r="C26" s="44" t="s">
        <v>350</v>
      </c>
      <c r="D26" s="43" t="s">
        <v>310</v>
      </c>
      <c r="E26" s="141">
        <v>0.95</v>
      </c>
      <c r="F26" s="138" t="s">
        <v>318</v>
      </c>
      <c r="G26" s="143">
        <v>0.26</v>
      </c>
      <c r="H26" s="43">
        <v>0</v>
      </c>
      <c r="I26" s="43">
        <v>1</v>
      </c>
      <c r="J26" s="54" t="s">
        <v>1643</v>
      </c>
      <c r="K26" s="53">
        <v>47</v>
      </c>
      <c r="L26" s="54"/>
      <c r="M26" s="46" t="s">
        <v>351</v>
      </c>
    </row>
    <row r="27" spans="1:13" ht="24" x14ac:dyDescent="0.35">
      <c r="A27" s="43">
        <v>42</v>
      </c>
      <c r="B27" s="44" t="s">
        <v>213</v>
      </c>
      <c r="C27" s="44" t="s">
        <v>352</v>
      </c>
      <c r="D27" s="43" t="s">
        <v>310</v>
      </c>
      <c r="E27" s="141">
        <v>0.95</v>
      </c>
      <c r="F27" s="138" t="s">
        <v>321</v>
      </c>
      <c r="G27" s="143">
        <v>0.4</v>
      </c>
      <c r="H27" s="43">
        <v>0</v>
      </c>
      <c r="I27" s="43">
        <v>1</v>
      </c>
      <c r="J27" s="54" t="s">
        <v>1643</v>
      </c>
      <c r="K27" s="53">
        <v>47</v>
      </c>
      <c r="L27" s="54"/>
      <c r="M27" s="46" t="s">
        <v>353</v>
      </c>
    </row>
    <row r="28" spans="1:13" s="111" customFormat="1" x14ac:dyDescent="0.35">
      <c r="A28" s="133">
        <v>43</v>
      </c>
      <c r="B28" s="134" t="s">
        <v>213</v>
      </c>
      <c r="C28" s="134" t="s">
        <v>354</v>
      </c>
      <c r="D28" s="133" t="s">
        <v>310</v>
      </c>
      <c r="E28" s="142">
        <v>0.95</v>
      </c>
      <c r="F28" s="140"/>
      <c r="G28" s="144" t="s">
        <v>344</v>
      </c>
      <c r="H28" s="133">
        <v>0</v>
      </c>
      <c r="I28" s="133">
        <v>1</v>
      </c>
      <c r="J28" s="135" t="s">
        <v>1644</v>
      </c>
      <c r="K28" s="124">
        <v>35</v>
      </c>
      <c r="L28" s="135"/>
      <c r="M28" s="136" t="s">
        <v>355</v>
      </c>
    </row>
    <row r="29" spans="1:13" x14ac:dyDescent="0.35">
      <c r="A29" s="43">
        <v>44</v>
      </c>
      <c r="B29" s="44" t="s">
        <v>213</v>
      </c>
      <c r="C29" s="44" t="s">
        <v>356</v>
      </c>
      <c r="D29" s="43" t="s">
        <v>310</v>
      </c>
      <c r="E29" s="141">
        <v>0.95</v>
      </c>
      <c r="F29" s="138" t="s">
        <v>324</v>
      </c>
      <c r="G29" s="143">
        <v>1</v>
      </c>
      <c r="H29" s="43">
        <v>0</v>
      </c>
      <c r="I29" s="43">
        <v>1</v>
      </c>
      <c r="J29" s="54" t="s">
        <v>1643</v>
      </c>
      <c r="K29" s="53">
        <v>47</v>
      </c>
      <c r="L29" s="54"/>
      <c r="M29" s="46" t="s">
        <v>357</v>
      </c>
    </row>
    <row r="30" spans="1:13" x14ac:dyDescent="0.35">
      <c r="A30" s="43">
        <v>45</v>
      </c>
      <c r="B30" s="44" t="s">
        <v>213</v>
      </c>
      <c r="C30" s="44" t="s">
        <v>358</v>
      </c>
      <c r="D30" s="43" t="s">
        <v>310</v>
      </c>
      <c r="E30" s="141">
        <v>0.95</v>
      </c>
      <c r="F30" s="138" t="s">
        <v>327</v>
      </c>
      <c r="G30" s="143">
        <v>1</v>
      </c>
      <c r="H30" s="43">
        <v>0</v>
      </c>
      <c r="I30" s="43">
        <v>1</v>
      </c>
      <c r="J30" s="54" t="s">
        <v>1643</v>
      </c>
      <c r="K30" s="53">
        <v>47</v>
      </c>
      <c r="L30" s="54"/>
      <c r="M30" s="46" t="s">
        <v>359</v>
      </c>
    </row>
    <row r="31" spans="1:13" x14ac:dyDescent="0.35">
      <c r="A31" s="43">
        <v>46</v>
      </c>
      <c r="B31" s="44" t="s">
        <v>213</v>
      </c>
      <c r="C31" s="44" t="s">
        <v>360</v>
      </c>
      <c r="D31" s="43" t="s">
        <v>310</v>
      </c>
      <c r="E31" s="141">
        <v>0.95</v>
      </c>
      <c r="F31" s="138" t="s">
        <v>330</v>
      </c>
      <c r="G31" s="143">
        <v>0.18</v>
      </c>
      <c r="H31" s="43">
        <v>0</v>
      </c>
      <c r="I31" s="43">
        <v>1</v>
      </c>
      <c r="J31" s="54" t="s">
        <v>1643</v>
      </c>
      <c r="K31" s="53">
        <v>47</v>
      </c>
      <c r="L31" s="54"/>
      <c r="M31" s="46" t="s">
        <v>361</v>
      </c>
    </row>
    <row r="32" spans="1:13" ht="36" x14ac:dyDescent="0.35">
      <c r="A32" s="43"/>
      <c r="B32" s="44" t="s">
        <v>213</v>
      </c>
      <c r="C32" s="44" t="s">
        <v>362</v>
      </c>
      <c r="D32" s="43" t="s">
        <v>310</v>
      </c>
      <c r="E32" s="141">
        <v>1</v>
      </c>
      <c r="F32" s="138" t="s">
        <v>315</v>
      </c>
      <c r="G32" s="143">
        <v>0.33</v>
      </c>
      <c r="H32" s="43">
        <v>-1.643</v>
      </c>
      <c r="I32" s="43">
        <v>1.643</v>
      </c>
      <c r="J32" s="54" t="s">
        <v>1643</v>
      </c>
      <c r="K32" s="53">
        <v>47</v>
      </c>
      <c r="L32" s="54"/>
      <c r="M32" s="46" t="s">
        <v>363</v>
      </c>
    </row>
    <row r="33" spans="1:13" ht="24" x14ac:dyDescent="0.35">
      <c r="A33" s="43"/>
      <c r="B33" s="44" t="s">
        <v>213</v>
      </c>
      <c r="C33" s="44" t="s">
        <v>364</v>
      </c>
      <c r="D33" s="43" t="s">
        <v>310</v>
      </c>
      <c r="E33" s="141">
        <v>1</v>
      </c>
      <c r="F33" s="138" t="s">
        <v>318</v>
      </c>
      <c r="G33" s="143">
        <v>0.27</v>
      </c>
      <c r="H33" s="43">
        <v>0</v>
      </c>
      <c r="I33" s="43">
        <v>1</v>
      </c>
      <c r="J33" s="54" t="s">
        <v>1643</v>
      </c>
      <c r="K33" s="53">
        <v>47</v>
      </c>
      <c r="L33" s="54"/>
      <c r="M33" s="46" t="s">
        <v>365</v>
      </c>
    </row>
    <row r="34" spans="1:13" ht="36" x14ac:dyDescent="0.35">
      <c r="A34" s="43"/>
      <c r="B34" s="44" t="s">
        <v>213</v>
      </c>
      <c r="C34" s="44" t="s">
        <v>366</v>
      </c>
      <c r="D34" s="43" t="s">
        <v>310</v>
      </c>
      <c r="E34" s="141">
        <v>1</v>
      </c>
      <c r="F34" s="138" t="s">
        <v>321</v>
      </c>
      <c r="G34" s="143">
        <v>0.28000000000000003</v>
      </c>
      <c r="H34" s="43">
        <v>-1</v>
      </c>
      <c r="I34" s="43">
        <v>1</v>
      </c>
      <c r="J34" s="54" t="s">
        <v>1643</v>
      </c>
      <c r="K34" s="53">
        <v>47</v>
      </c>
      <c r="L34" s="54"/>
      <c r="M34" s="46" t="s">
        <v>367</v>
      </c>
    </row>
    <row r="35" spans="1:13" ht="24" x14ac:dyDescent="0.35">
      <c r="A35" s="43"/>
      <c r="B35" s="44" t="s">
        <v>213</v>
      </c>
      <c r="C35" s="44" t="s">
        <v>368</v>
      </c>
      <c r="D35" s="43" t="s">
        <v>310</v>
      </c>
      <c r="E35" s="141">
        <v>1</v>
      </c>
      <c r="F35" s="138" t="s">
        <v>324</v>
      </c>
      <c r="G35" s="143">
        <v>1</v>
      </c>
      <c r="H35" s="43">
        <v>-1</v>
      </c>
      <c r="I35" s="43">
        <v>1</v>
      </c>
      <c r="J35" s="54" t="s">
        <v>1643</v>
      </c>
      <c r="K35" s="53">
        <v>47</v>
      </c>
      <c r="L35" s="54"/>
      <c r="M35" s="46" t="s">
        <v>369</v>
      </c>
    </row>
    <row r="36" spans="1:13" ht="24" x14ac:dyDescent="0.35">
      <c r="A36" s="43"/>
      <c r="B36" s="44" t="s">
        <v>213</v>
      </c>
      <c r="C36" s="44" t="s">
        <v>370</v>
      </c>
      <c r="D36" s="43" t="s">
        <v>310</v>
      </c>
      <c r="E36" s="141">
        <v>1</v>
      </c>
      <c r="F36" s="138" t="s">
        <v>327</v>
      </c>
      <c r="G36" s="143">
        <v>1</v>
      </c>
      <c r="H36" s="43">
        <v>0</v>
      </c>
      <c r="I36" s="43">
        <v>1</v>
      </c>
      <c r="J36" s="54" t="s">
        <v>1643</v>
      </c>
      <c r="K36" s="53">
        <v>47</v>
      </c>
      <c r="L36" s="54"/>
      <c r="M36" s="46" t="s">
        <v>371</v>
      </c>
    </row>
    <row r="37" spans="1:13" ht="24" x14ac:dyDescent="0.35">
      <c r="A37" s="43"/>
      <c r="B37" s="44" t="s">
        <v>213</v>
      </c>
      <c r="C37" s="44" t="s">
        <v>372</v>
      </c>
      <c r="D37" s="43" t="s">
        <v>310</v>
      </c>
      <c r="E37" s="141">
        <v>1</v>
      </c>
      <c r="F37" s="138" t="s">
        <v>330</v>
      </c>
      <c r="G37" s="143">
        <v>0.16700000000000001</v>
      </c>
      <c r="H37" s="43">
        <v>0</v>
      </c>
      <c r="I37" s="43">
        <v>1</v>
      </c>
      <c r="J37" s="54" t="s">
        <v>1643</v>
      </c>
      <c r="K37" s="53">
        <v>47</v>
      </c>
      <c r="L37" s="54"/>
      <c r="M37" s="46" t="s">
        <v>373</v>
      </c>
    </row>
    <row r="38" spans="1:13" ht="36" x14ac:dyDescent="0.35">
      <c r="A38" s="43">
        <v>47</v>
      </c>
      <c r="B38" s="44" t="s">
        <v>213</v>
      </c>
      <c r="C38" s="44" t="s">
        <v>374</v>
      </c>
      <c r="D38" s="43" t="s">
        <v>310</v>
      </c>
      <c r="E38" s="141">
        <v>1.05</v>
      </c>
      <c r="F38" s="138" t="s">
        <v>315</v>
      </c>
      <c r="G38" s="143">
        <v>0.02</v>
      </c>
      <c r="H38" s="43">
        <v>-1.643</v>
      </c>
      <c r="I38" s="43">
        <v>0</v>
      </c>
      <c r="J38" s="54" t="s">
        <v>1643</v>
      </c>
      <c r="K38" s="53">
        <v>47</v>
      </c>
      <c r="L38" s="54"/>
      <c r="M38" s="46" t="s">
        <v>375</v>
      </c>
    </row>
    <row r="39" spans="1:13" x14ac:dyDescent="0.35">
      <c r="A39" s="43">
        <v>48</v>
      </c>
      <c r="B39" s="44" t="s">
        <v>213</v>
      </c>
      <c r="C39" s="44" t="s">
        <v>376</v>
      </c>
      <c r="D39" s="43" t="s">
        <v>310</v>
      </c>
      <c r="E39" s="141">
        <v>1.05</v>
      </c>
      <c r="F39" s="138" t="s">
        <v>318</v>
      </c>
      <c r="G39" s="143">
        <v>0.26</v>
      </c>
      <c r="H39" s="43">
        <v>0</v>
      </c>
      <c r="I39" s="43">
        <v>1</v>
      </c>
      <c r="J39" s="54" t="s">
        <v>1643</v>
      </c>
      <c r="K39" s="53">
        <v>47</v>
      </c>
      <c r="L39" s="54"/>
      <c r="M39" s="46" t="s">
        <v>377</v>
      </c>
    </row>
    <row r="40" spans="1:13" x14ac:dyDescent="0.35">
      <c r="A40" s="43">
        <v>49</v>
      </c>
      <c r="B40" s="44" t="s">
        <v>213</v>
      </c>
      <c r="C40" s="44" t="s">
        <v>378</v>
      </c>
      <c r="D40" s="43" t="s">
        <v>310</v>
      </c>
      <c r="E40" s="141">
        <v>1.05</v>
      </c>
      <c r="F40" s="138" t="s">
        <v>321</v>
      </c>
      <c r="G40" s="143">
        <v>0</v>
      </c>
      <c r="H40" s="43">
        <v>-1</v>
      </c>
      <c r="I40" s="43">
        <v>0</v>
      </c>
      <c r="J40" s="54" t="s">
        <v>1643</v>
      </c>
      <c r="K40" s="53">
        <v>47</v>
      </c>
      <c r="L40" s="54"/>
      <c r="M40" s="46" t="s">
        <v>379</v>
      </c>
    </row>
    <row r="41" spans="1:13" x14ac:dyDescent="0.35">
      <c r="A41" s="43">
        <v>51</v>
      </c>
      <c r="B41" s="44" t="s">
        <v>213</v>
      </c>
      <c r="C41" s="44" t="s">
        <v>380</v>
      </c>
      <c r="D41" s="43" t="s">
        <v>310</v>
      </c>
      <c r="E41" s="141">
        <v>1.05</v>
      </c>
      <c r="F41" s="138" t="s">
        <v>324</v>
      </c>
      <c r="G41" s="143">
        <v>0.7</v>
      </c>
      <c r="H41" s="43">
        <v>-1</v>
      </c>
      <c r="I41" s="43">
        <v>0</v>
      </c>
      <c r="J41" s="54" t="s">
        <v>1643</v>
      </c>
      <c r="K41" s="53">
        <v>47</v>
      </c>
      <c r="L41" s="54"/>
      <c r="M41" s="46" t="s">
        <v>381</v>
      </c>
    </row>
    <row r="42" spans="1:13" x14ac:dyDescent="0.35">
      <c r="A42" s="43">
        <v>52</v>
      </c>
      <c r="B42" s="44" t="s">
        <v>213</v>
      </c>
      <c r="C42" s="44" t="s">
        <v>382</v>
      </c>
      <c r="D42" s="43" t="s">
        <v>310</v>
      </c>
      <c r="E42" s="141">
        <v>1.05</v>
      </c>
      <c r="F42" s="138" t="s">
        <v>327</v>
      </c>
      <c r="G42" s="143">
        <v>1</v>
      </c>
      <c r="H42" s="43">
        <v>0</v>
      </c>
      <c r="I42" s="43">
        <v>1</v>
      </c>
      <c r="J42" s="54" t="s">
        <v>1643</v>
      </c>
      <c r="K42" s="53">
        <v>47</v>
      </c>
      <c r="L42" s="54"/>
      <c r="M42" s="46" t="s">
        <v>383</v>
      </c>
    </row>
    <row r="43" spans="1:13" x14ac:dyDescent="0.35">
      <c r="A43" s="43">
        <v>53</v>
      </c>
      <c r="B43" s="44" t="s">
        <v>213</v>
      </c>
      <c r="C43" s="44" t="s">
        <v>384</v>
      </c>
      <c r="D43" s="43" t="s">
        <v>310</v>
      </c>
      <c r="E43" s="141">
        <v>1.05</v>
      </c>
      <c r="F43" s="138" t="s">
        <v>330</v>
      </c>
      <c r="G43" s="143">
        <v>0</v>
      </c>
      <c r="H43" s="43">
        <v>0</v>
      </c>
      <c r="I43" s="43">
        <v>1</v>
      </c>
      <c r="J43" s="54" t="s">
        <v>1643</v>
      </c>
      <c r="K43" s="53">
        <v>47</v>
      </c>
      <c r="L43" s="54"/>
      <c r="M43" s="46" t="s">
        <v>385</v>
      </c>
    </row>
    <row r="44" spans="1:13" ht="24" x14ac:dyDescent="0.35">
      <c r="A44" s="43">
        <v>54</v>
      </c>
      <c r="B44" s="44" t="s">
        <v>213</v>
      </c>
      <c r="C44" s="44" t="s">
        <v>386</v>
      </c>
      <c r="D44" s="43" t="s">
        <v>310</v>
      </c>
      <c r="E44" s="141">
        <v>1.05</v>
      </c>
      <c r="F44" s="138" t="s">
        <v>315</v>
      </c>
      <c r="G44" s="143">
        <v>-0.33</v>
      </c>
      <c r="H44" s="43">
        <v>-1.643</v>
      </c>
      <c r="I44" s="43">
        <v>0</v>
      </c>
      <c r="J44" s="54" t="s">
        <v>1643</v>
      </c>
      <c r="K44" s="53">
        <v>47</v>
      </c>
      <c r="L44" s="54"/>
      <c r="M44" s="46" t="s">
        <v>387</v>
      </c>
    </row>
    <row r="45" spans="1:13" x14ac:dyDescent="0.35">
      <c r="A45" s="43">
        <v>55</v>
      </c>
      <c r="B45" s="44" t="s">
        <v>213</v>
      </c>
      <c r="C45" s="44" t="s">
        <v>388</v>
      </c>
      <c r="D45" s="43" t="s">
        <v>310</v>
      </c>
      <c r="E45" s="141">
        <v>1.05</v>
      </c>
      <c r="F45" s="138" t="s">
        <v>318</v>
      </c>
      <c r="G45" s="143">
        <v>0.27</v>
      </c>
      <c r="H45" s="43">
        <v>0</v>
      </c>
      <c r="I45" s="43">
        <v>-1</v>
      </c>
      <c r="J45" s="54" t="s">
        <v>1643</v>
      </c>
      <c r="K45" s="53">
        <v>47</v>
      </c>
      <c r="L45" s="54"/>
      <c r="M45" s="46" t="s">
        <v>389</v>
      </c>
    </row>
    <row r="46" spans="1:13" ht="24" x14ac:dyDescent="0.35">
      <c r="A46" s="43">
        <v>56</v>
      </c>
      <c r="B46" s="44" t="s">
        <v>213</v>
      </c>
      <c r="C46" s="44" t="s">
        <v>390</v>
      </c>
      <c r="D46" s="43" t="s">
        <v>310</v>
      </c>
      <c r="E46" s="141">
        <v>1.05</v>
      </c>
      <c r="F46" s="138" t="s">
        <v>321</v>
      </c>
      <c r="G46" s="143">
        <v>0</v>
      </c>
      <c r="H46" s="43">
        <v>-1</v>
      </c>
      <c r="I46" s="43">
        <v>0</v>
      </c>
      <c r="J46" s="54" t="s">
        <v>1643</v>
      </c>
      <c r="K46" s="53">
        <v>47</v>
      </c>
      <c r="L46" s="54"/>
      <c r="M46" s="46" t="s">
        <v>391</v>
      </c>
    </row>
    <row r="47" spans="1:13" x14ac:dyDescent="0.35">
      <c r="A47" s="43">
        <v>58</v>
      </c>
      <c r="B47" s="44" t="s">
        <v>213</v>
      </c>
      <c r="C47" s="44" t="s">
        <v>392</v>
      </c>
      <c r="D47" s="43" t="s">
        <v>310</v>
      </c>
      <c r="E47" s="141">
        <v>1.05</v>
      </c>
      <c r="F47" s="138" t="s">
        <v>324</v>
      </c>
      <c r="G47" s="143">
        <v>0.02</v>
      </c>
      <c r="H47" s="43">
        <v>-1</v>
      </c>
      <c r="I47" s="43">
        <v>0</v>
      </c>
      <c r="J47" s="54" t="s">
        <v>1643</v>
      </c>
      <c r="K47" s="53">
        <v>47</v>
      </c>
      <c r="L47" s="54"/>
      <c r="M47" s="46" t="s">
        <v>393</v>
      </c>
    </row>
    <row r="48" spans="1:13" x14ac:dyDescent="0.35">
      <c r="A48" s="43">
        <v>59</v>
      </c>
      <c r="B48" s="44" t="s">
        <v>213</v>
      </c>
      <c r="C48" s="44" t="s">
        <v>394</v>
      </c>
      <c r="D48" s="43" t="s">
        <v>310</v>
      </c>
      <c r="E48" s="141">
        <v>1.05</v>
      </c>
      <c r="F48" s="138" t="s">
        <v>327</v>
      </c>
      <c r="G48" s="143">
        <v>1</v>
      </c>
      <c r="H48" s="43">
        <v>0</v>
      </c>
      <c r="I48" s="43">
        <v>-1</v>
      </c>
      <c r="J48" s="54" t="s">
        <v>1643</v>
      </c>
      <c r="K48" s="53">
        <v>47</v>
      </c>
      <c r="L48" s="54"/>
      <c r="M48" s="46" t="s">
        <v>395</v>
      </c>
    </row>
    <row r="49" spans="1:13" x14ac:dyDescent="0.35">
      <c r="A49" s="43">
        <v>60</v>
      </c>
      <c r="B49" s="44" t="s">
        <v>213</v>
      </c>
      <c r="C49" s="44" t="s">
        <v>396</v>
      </c>
      <c r="D49" s="43" t="s">
        <v>310</v>
      </c>
      <c r="E49" s="141">
        <v>1.05</v>
      </c>
      <c r="F49" s="138" t="s">
        <v>330</v>
      </c>
      <c r="G49" s="143">
        <v>0</v>
      </c>
      <c r="H49" s="43">
        <v>0</v>
      </c>
      <c r="I49" s="43">
        <v>-1</v>
      </c>
      <c r="J49" s="54" t="s">
        <v>1643</v>
      </c>
      <c r="K49" s="53">
        <v>47</v>
      </c>
      <c r="L49" s="54"/>
      <c r="M49" s="46" t="s">
        <v>397</v>
      </c>
    </row>
    <row r="50" spans="1:13" ht="36" x14ac:dyDescent="0.35">
      <c r="A50" s="43">
        <v>26</v>
      </c>
      <c r="B50" s="44" t="s">
        <v>213</v>
      </c>
      <c r="C50" s="44" t="s">
        <v>398</v>
      </c>
      <c r="D50" s="43" t="s">
        <v>310</v>
      </c>
      <c r="E50" s="141">
        <v>1</v>
      </c>
      <c r="F50" s="138" t="s">
        <v>315</v>
      </c>
      <c r="G50" s="143">
        <v>-0.33</v>
      </c>
      <c r="H50" s="43">
        <v>-1.643</v>
      </c>
      <c r="I50" s="43">
        <v>1.643</v>
      </c>
      <c r="J50" s="54" t="s">
        <v>1643</v>
      </c>
      <c r="K50" s="53">
        <v>47</v>
      </c>
      <c r="L50" s="54"/>
      <c r="M50" s="46" t="s">
        <v>399</v>
      </c>
    </row>
    <row r="51" spans="1:13" ht="24" x14ac:dyDescent="0.35">
      <c r="A51" s="43">
        <v>27</v>
      </c>
      <c r="B51" s="44" t="s">
        <v>213</v>
      </c>
      <c r="C51" s="44" t="s">
        <v>400</v>
      </c>
      <c r="D51" s="43" t="s">
        <v>310</v>
      </c>
      <c r="E51" s="141">
        <v>1</v>
      </c>
      <c r="F51" s="138" t="s">
        <v>318</v>
      </c>
      <c r="G51" s="143">
        <v>0.27</v>
      </c>
      <c r="H51" s="43">
        <v>0</v>
      </c>
      <c r="I51" s="43">
        <v>1</v>
      </c>
      <c r="J51" s="54" t="s">
        <v>1643</v>
      </c>
      <c r="K51" s="53">
        <v>47</v>
      </c>
      <c r="L51" s="54"/>
      <c r="M51" s="46" t="s">
        <v>401</v>
      </c>
    </row>
    <row r="52" spans="1:13" ht="24" x14ac:dyDescent="0.35">
      <c r="A52" s="43">
        <v>28</v>
      </c>
      <c r="B52" s="44" t="s">
        <v>213</v>
      </c>
      <c r="C52" s="44" t="s">
        <v>402</v>
      </c>
      <c r="D52" s="43" t="s">
        <v>310</v>
      </c>
      <c r="E52" s="141">
        <v>1</v>
      </c>
      <c r="F52" s="138" t="s">
        <v>321</v>
      </c>
      <c r="G52" s="143">
        <v>0</v>
      </c>
      <c r="H52" s="43">
        <v>-1</v>
      </c>
      <c r="I52" s="43">
        <v>1</v>
      </c>
      <c r="J52" s="54" t="s">
        <v>1643</v>
      </c>
      <c r="K52" s="53">
        <v>47</v>
      </c>
      <c r="L52" s="54"/>
      <c r="M52" s="46" t="s">
        <v>403</v>
      </c>
    </row>
    <row r="53" spans="1:13" x14ac:dyDescent="0.35">
      <c r="A53" s="43">
        <v>30</v>
      </c>
      <c r="B53" s="44" t="s">
        <v>213</v>
      </c>
      <c r="C53" s="44" t="s">
        <v>404</v>
      </c>
      <c r="D53" s="43" t="s">
        <v>310</v>
      </c>
      <c r="E53" s="141">
        <v>1</v>
      </c>
      <c r="F53" s="138" t="s">
        <v>324</v>
      </c>
      <c r="G53" s="143">
        <v>0</v>
      </c>
      <c r="H53" s="43">
        <v>-1</v>
      </c>
      <c r="I53" s="43">
        <v>1</v>
      </c>
      <c r="J53" s="54" t="s">
        <v>1643</v>
      </c>
      <c r="K53" s="53">
        <v>47</v>
      </c>
      <c r="L53" s="54"/>
      <c r="M53" s="46" t="s">
        <v>405</v>
      </c>
    </row>
    <row r="54" spans="1:13" x14ac:dyDescent="0.35">
      <c r="A54" s="43">
        <v>31</v>
      </c>
      <c r="B54" s="44" t="s">
        <v>213</v>
      </c>
      <c r="C54" s="44" t="s">
        <v>406</v>
      </c>
      <c r="D54" s="43" t="s">
        <v>310</v>
      </c>
      <c r="E54" s="141">
        <v>1</v>
      </c>
      <c r="F54" s="138" t="s">
        <v>327</v>
      </c>
      <c r="G54" s="143">
        <v>1</v>
      </c>
      <c r="H54" s="43">
        <v>0</v>
      </c>
      <c r="I54" s="43">
        <v>-1</v>
      </c>
      <c r="J54" s="54" t="s">
        <v>1643</v>
      </c>
      <c r="K54" s="53">
        <v>47</v>
      </c>
      <c r="L54" s="54"/>
      <c r="M54" s="46" t="s">
        <v>407</v>
      </c>
    </row>
    <row r="55" spans="1:13" x14ac:dyDescent="0.35">
      <c r="A55" s="43">
        <v>32</v>
      </c>
      <c r="B55" s="44" t="s">
        <v>213</v>
      </c>
      <c r="C55" s="44" t="s">
        <v>408</v>
      </c>
      <c r="D55" s="43" t="s">
        <v>310</v>
      </c>
      <c r="E55" s="141">
        <v>1</v>
      </c>
      <c r="F55" s="138" t="s">
        <v>330</v>
      </c>
      <c r="G55" s="143">
        <v>0</v>
      </c>
      <c r="H55" s="43">
        <v>0</v>
      </c>
      <c r="I55" s="43">
        <v>-1</v>
      </c>
      <c r="J55" s="54" t="s">
        <v>1643</v>
      </c>
      <c r="K55" s="53">
        <v>47</v>
      </c>
      <c r="L55" s="54"/>
      <c r="M55" s="46" t="s">
        <v>409</v>
      </c>
    </row>
    <row r="56" spans="1:13" ht="36" x14ac:dyDescent="0.35">
      <c r="A56" s="43">
        <v>9</v>
      </c>
      <c r="B56" s="44" t="s">
        <v>213</v>
      </c>
      <c r="C56" s="44" t="s">
        <v>410</v>
      </c>
      <c r="D56" s="43" t="s">
        <v>411</v>
      </c>
      <c r="F56" s="132"/>
      <c r="G56" s="53" t="s">
        <v>412</v>
      </c>
      <c r="H56" s="43" t="s">
        <v>412</v>
      </c>
      <c r="I56" s="43" t="s">
        <v>412</v>
      </c>
      <c r="J56" s="54" t="s">
        <v>1643</v>
      </c>
      <c r="K56" s="53">
        <v>27</v>
      </c>
      <c r="L56" s="54"/>
      <c r="M56" s="46" t="s">
        <v>413</v>
      </c>
    </row>
    <row r="57" spans="1:13" ht="36" x14ac:dyDescent="0.35">
      <c r="A57" s="43">
        <v>10</v>
      </c>
      <c r="B57" s="44" t="s">
        <v>213</v>
      </c>
      <c r="C57" s="44" t="s">
        <v>414</v>
      </c>
      <c r="D57" s="43" t="s">
        <v>415</v>
      </c>
      <c r="E57" s="9"/>
      <c r="F57" s="132"/>
      <c r="G57" s="53" t="s">
        <v>277</v>
      </c>
      <c r="H57" s="43" t="s">
        <v>416</v>
      </c>
      <c r="I57" s="43" t="s">
        <v>416</v>
      </c>
      <c r="J57" s="54" t="s">
        <v>1643</v>
      </c>
      <c r="K57" s="53">
        <v>13</v>
      </c>
      <c r="L57" s="54"/>
      <c r="M57" s="46" t="s">
        <v>417</v>
      </c>
    </row>
    <row r="58" spans="1:13" ht="36" x14ac:dyDescent="0.35">
      <c r="A58" s="43">
        <v>11</v>
      </c>
      <c r="B58" s="44" t="s">
        <v>213</v>
      </c>
      <c r="C58" s="44" t="s">
        <v>418</v>
      </c>
      <c r="D58" s="43" t="s">
        <v>415</v>
      </c>
      <c r="E58" s="149"/>
      <c r="F58" s="150"/>
      <c r="G58" s="143" t="s">
        <v>277</v>
      </c>
      <c r="H58" s="43" t="s">
        <v>416</v>
      </c>
      <c r="I58" s="43" t="s">
        <v>416</v>
      </c>
      <c r="J58" s="54" t="s">
        <v>1643</v>
      </c>
      <c r="K58" s="53">
        <v>47</v>
      </c>
      <c r="L58" s="54"/>
      <c r="M58" s="46" t="s">
        <v>419</v>
      </c>
    </row>
    <row r="60" spans="1:13" x14ac:dyDescent="0.35">
      <c r="E60" s="47"/>
    </row>
    <row r="61" spans="1:13" x14ac:dyDescent="0.35">
      <c r="A61" s="165" t="s">
        <v>288</v>
      </c>
      <c r="B61" s="165"/>
      <c r="C61" s="165"/>
      <c r="D61" s="165"/>
      <c r="E61" s="165"/>
      <c r="F61" s="165"/>
      <c r="G61" s="165"/>
    </row>
    <row r="62" spans="1:13" x14ac:dyDescent="0.35">
      <c r="E62" s="47"/>
    </row>
    <row r="63" spans="1:13" x14ac:dyDescent="0.35">
      <c r="E63" s="47"/>
    </row>
    <row r="64" spans="1:13" x14ac:dyDescent="0.35">
      <c r="E64" s="47"/>
    </row>
    <row r="68" spans="5:5" x14ac:dyDescent="0.35">
      <c r="E68" s="47"/>
    </row>
    <row r="69" spans="5:5" x14ac:dyDescent="0.35">
      <c r="E69" s="47"/>
    </row>
    <row r="70" spans="5:5" x14ac:dyDescent="0.35">
      <c r="E70" s="47"/>
    </row>
    <row r="71" spans="5:5" x14ac:dyDescent="0.35">
      <c r="E71" s="47"/>
    </row>
    <row r="72" spans="5:5" x14ac:dyDescent="0.35">
      <c r="E72" s="47"/>
    </row>
    <row r="73" spans="5:5" x14ac:dyDescent="0.35">
      <c r="E73" s="47"/>
    </row>
    <row r="74" spans="5:5" x14ac:dyDescent="0.35">
      <c r="E74" s="47"/>
    </row>
    <row r="75" spans="5:5" x14ac:dyDescent="0.35">
      <c r="E75" s="47"/>
    </row>
    <row r="76" spans="5:5" x14ac:dyDescent="0.35">
      <c r="E76" s="47"/>
    </row>
    <row r="77" spans="5:5" x14ac:dyDescent="0.35">
      <c r="E77" s="47"/>
    </row>
    <row r="78" spans="5:5" x14ac:dyDescent="0.35">
      <c r="E78" s="47"/>
    </row>
    <row r="79" spans="5:5" x14ac:dyDescent="0.35">
      <c r="E79" s="47"/>
    </row>
    <row r="80" spans="5:5" x14ac:dyDescent="0.35">
      <c r="E80" s="47"/>
    </row>
    <row r="81" spans="5:5" x14ac:dyDescent="0.35">
      <c r="E81" s="47"/>
    </row>
    <row r="82" spans="5:5" x14ac:dyDescent="0.35">
      <c r="E82" s="47"/>
    </row>
    <row r="83" spans="5:5" x14ac:dyDescent="0.35">
      <c r="E83" s="47"/>
    </row>
    <row r="84" spans="5:5" x14ac:dyDescent="0.35">
      <c r="E84" s="47"/>
    </row>
    <row r="85" spans="5:5" x14ac:dyDescent="0.35">
      <c r="E85" s="47"/>
    </row>
    <row r="86" spans="5:5" x14ac:dyDescent="0.35">
      <c r="E86" s="47"/>
    </row>
    <row r="87" spans="5:5" x14ac:dyDescent="0.35">
      <c r="E87" s="47"/>
    </row>
    <row r="88" spans="5:5" x14ac:dyDescent="0.35">
      <c r="E88" s="47"/>
    </row>
    <row r="89" spans="5:5" x14ac:dyDescent="0.35">
      <c r="E89" s="47"/>
    </row>
    <row r="90" spans="5:5" x14ac:dyDescent="0.35">
      <c r="E90" s="47"/>
    </row>
    <row r="91" spans="5:5" x14ac:dyDescent="0.35">
      <c r="E91" s="47"/>
    </row>
    <row r="92" spans="5:5" x14ac:dyDescent="0.35">
      <c r="E92" s="47"/>
    </row>
    <row r="93" spans="5:5" x14ac:dyDescent="0.35">
      <c r="E93" s="47"/>
    </row>
    <row r="94" spans="5:5" x14ac:dyDescent="0.35">
      <c r="E94" s="47"/>
    </row>
    <row r="95" spans="5:5" x14ac:dyDescent="0.35">
      <c r="E95" s="47"/>
    </row>
    <row r="96" spans="5:5" x14ac:dyDescent="0.35">
      <c r="E96" s="47"/>
    </row>
    <row r="97" spans="5:5" x14ac:dyDescent="0.35">
      <c r="E97" s="47"/>
    </row>
    <row r="98" spans="5:5" x14ac:dyDescent="0.35">
      <c r="E98" s="47"/>
    </row>
    <row r="99" spans="5:5" x14ac:dyDescent="0.35">
      <c r="E99" s="47"/>
    </row>
    <row r="100" spans="5:5" x14ac:dyDescent="0.35">
      <c r="E100" s="47"/>
    </row>
  </sheetData>
  <autoFilter ref="A3:M58" xr:uid="{00000000-0001-0000-0600-000000000000}"/>
  <mergeCells count="1">
    <mergeCell ref="A61:G61"/>
  </mergeCells>
  <phoneticPr fontId="38" type="noConversion"/>
  <conditionalFormatting sqref="G4:G6">
    <cfRule type="expression" dxfId="43" priority="1">
      <formula>AND(ISNUMBER(G4),G4&gt;100)</formula>
    </cfRule>
    <cfRule type="expression" dxfId="42" priority="2">
      <formula>AND(ISNUMBER(G4),G4&lt;=100)</formula>
    </cfRule>
  </conditionalFormatting>
  <conditionalFormatting sqref="G6">
    <cfRule type="expression" dxfId="41" priority="3">
      <formula>AND(ISNUMBER(G6),G6&gt;100)</formula>
    </cfRule>
    <cfRule type="expression" dxfId="40" priority="4">
      <formula>AND(ISNUMBER(G6),G6&lt;=100)</formula>
    </cfRule>
  </conditionalFormatting>
  <conditionalFormatting sqref="G8">
    <cfRule type="expression" dxfId="39" priority="5">
      <formula>AND(ISNUMBER(G8),G8&gt;1.05)</formula>
    </cfRule>
    <cfRule type="expression" dxfId="38" priority="6">
      <formula>AND(ISNUMBER(G8),G8&lt;=1.05)</formula>
    </cfRule>
  </conditionalFormatting>
  <conditionalFormatting sqref="G9">
    <cfRule type="expression" dxfId="37" priority="7">
      <formula>AND(ISNUMBER(G9),G9&lt;0.95)</formula>
    </cfRule>
    <cfRule type="expression" dxfId="36" priority="8">
      <formula>AND(ISNUMBER(G9),G9&gt;=0.95)</formula>
    </cfRule>
  </conditionalFormatting>
  <dataValidations xWindow="682" yWindow="551" count="7">
    <dataValidation type="decimal" allowBlank="1" showInputMessage="1" showErrorMessage="1" errorTitle="Out of range" error="Value must be between 0 and 100" promptTitle="Expected range" prompt="Enter % loading (must be ≤ 100%)" sqref="G6 G4" xr:uid="{87CE3DF3-BF63-449A-B9DD-8198F97FF4F3}">
      <formula1>0</formula1>
      <formula2>100</formula2>
    </dataValidation>
    <dataValidation type="decimal" allowBlank="1" showInputMessage="1" showErrorMessage="1" errorTitle="Out of range" error="Value must be between 0.9 and 1.1" promptTitle="Expected range" prompt="Max POI bus voltage in p.u. (limit ≤ 1.05 p.u.)" sqref="G8" xr:uid="{2796FA90-BD7C-45DE-8449-F0BCA22564D7}">
      <formula1>0.9</formula1>
      <formula2>1.1</formula2>
    </dataValidation>
    <dataValidation type="decimal" allowBlank="1" showInputMessage="1" showErrorMessage="1" errorTitle="Out of range" error="Value must be between 0.85 and 1.05" promptTitle="Expected range" prompt="Min POI bus voltage in p.u. (limit ≥ 0.95 p.u.)" sqref="G9" xr:uid="{1BB38ED3-2657-474A-8DDB-B97CC654A0AE}">
      <formula1>0.85</formula1>
      <formula2>1.05</formula2>
    </dataValidation>
    <dataValidation type="list" allowBlank="1" showInputMessage="1" showErrorMessage="1" errorTitle="Invalid entry" error="Allowed: Yes, No" promptTitle="Valid options" prompt="Enter Yes or No" sqref="G57:G58" xr:uid="{4BDF7C9B-3409-4993-A20D-21F6BE3D5975}">
      <formula1>"Yes,No"</formula1>
      <formula2>0</formula2>
    </dataValidation>
    <dataValidation type="decimal" errorStyle="warning" allowBlank="1" showInputMessage="1" showErrorMessage="1" errorTitle="Out of range" error="Value must be between 0 and 100" promptTitle="Expected range" prompt="Enter % loading (must be ≤ 100%)" sqref="G5:G6" xr:uid="{C3236F52-520C-4601-A9D5-08E5C4902064}">
      <formula1>0</formula1>
      <formula2>100</formula2>
    </dataValidation>
    <dataValidation type="decimal" errorStyle="warning" allowBlank="1" showInputMessage="1" showErrorMessage="1" errorTitle="Out of range" error="Value must be between -2.0 and 2.0" promptTitle="Expected range" prompt="Enter p.u. value (expected range - close to zero)" sqref="G10" xr:uid="{7248CCD4-EF03-488D-825D-C217DE8C3FDC}">
      <formula1>-2</formula1>
      <formula2>2</formula2>
    </dataValidation>
    <dataValidation type="decimal" errorStyle="warning" allowBlank="1" showInputMessage="1" showErrorMessage="1" errorTitle="Out of range" error="Value must be between -2.0 and 2.0" promptTitle="Expected range" prompt="Enter p.u. value (expected range - non zero)" sqref="G11:G55" xr:uid="{D775BAFA-F7CB-4F1E-B1C9-B9D775D6F4ED}">
      <formula1>-2</formula1>
      <formula2>2</formula2>
    </dataValidation>
  </dataValidations>
  <pageMargins left="0.25" right="0.25" top="0.75" bottom="0.75" header="0.3" footer="0.3"/>
  <pageSetup paperSize="9" scale="51" fitToHeight="6"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46"/>
  <sheetViews>
    <sheetView showGridLines="0" zoomScale="71" zoomScaleNormal="100" workbookViewId="0">
      <pane xSplit="3" ySplit="3" topLeftCell="E55" activePane="bottomRight" state="frozen"/>
      <selection pane="topRight" activeCell="D1" sqref="D1"/>
      <selection pane="bottomLeft" activeCell="A4" sqref="A4"/>
      <selection pane="bottomRight" activeCell="E17" sqref="E17"/>
    </sheetView>
  </sheetViews>
  <sheetFormatPr defaultColWidth="8.6328125" defaultRowHeight="14.5" x14ac:dyDescent="0.35"/>
  <cols>
    <col min="1" max="1" width="10" customWidth="1"/>
    <col min="2" max="2" width="34.08984375" customWidth="1"/>
    <col min="3" max="3" width="42.36328125" customWidth="1"/>
    <col min="4" max="4" width="23.6328125" customWidth="1"/>
    <col min="5" max="5" width="98" bestFit="1" customWidth="1"/>
    <col min="6" max="6" width="27.36328125" customWidth="1"/>
    <col min="7" max="7" width="97.36328125" customWidth="1"/>
    <col min="8" max="9" width="27.36328125" customWidth="1"/>
  </cols>
  <sheetData>
    <row r="1" spans="1:7" ht="15.75" customHeight="1" x14ac:dyDescent="0.35">
      <c r="A1" s="50" t="s">
        <v>420</v>
      </c>
    </row>
    <row r="3" spans="1:7" ht="48.75" customHeight="1" x14ac:dyDescent="0.35">
      <c r="A3" s="9" t="s">
        <v>206</v>
      </c>
      <c r="B3" s="9" t="s">
        <v>105</v>
      </c>
      <c r="C3" s="9" t="s">
        <v>207</v>
      </c>
      <c r="D3" s="9" t="s">
        <v>421</v>
      </c>
      <c r="E3" s="9" t="s">
        <v>211</v>
      </c>
      <c r="F3" s="9" t="s">
        <v>68</v>
      </c>
      <c r="G3" s="61" t="s">
        <v>212</v>
      </c>
    </row>
    <row r="4" spans="1:7" ht="32.25" customHeight="1" x14ac:dyDescent="0.35">
      <c r="A4" s="43">
        <v>1</v>
      </c>
      <c r="B4" s="44" t="s">
        <v>422</v>
      </c>
      <c r="C4" s="44" t="s">
        <v>423</v>
      </c>
      <c r="D4" s="60" t="s">
        <v>63</v>
      </c>
      <c r="E4" s="45" t="s">
        <v>1664</v>
      </c>
      <c r="F4" s="51" t="s">
        <v>63</v>
      </c>
      <c r="G4" s="46"/>
    </row>
    <row r="5" spans="1:7" ht="32.25" customHeight="1" x14ac:dyDescent="0.35">
      <c r="A5" s="43">
        <v>2</v>
      </c>
      <c r="B5" s="44" t="s">
        <v>422</v>
      </c>
      <c r="C5" s="44" t="s">
        <v>424</v>
      </c>
      <c r="D5" s="45" t="s">
        <v>63</v>
      </c>
      <c r="E5" s="45" t="s">
        <v>1730</v>
      </c>
      <c r="F5" s="51" t="s">
        <v>63</v>
      </c>
      <c r="G5" s="46"/>
    </row>
    <row r="6" spans="1:7" ht="32.25" customHeight="1" x14ac:dyDescent="0.35">
      <c r="A6" s="43">
        <v>3</v>
      </c>
      <c r="B6" s="44" t="s">
        <v>422</v>
      </c>
      <c r="C6" s="44" t="s">
        <v>425</v>
      </c>
      <c r="D6" s="45" t="s">
        <v>63</v>
      </c>
      <c r="E6" s="45" t="s">
        <v>1665</v>
      </c>
      <c r="F6" s="51" t="s">
        <v>63</v>
      </c>
      <c r="G6" s="46"/>
    </row>
    <row r="7" spans="1:7" ht="32.25" customHeight="1" x14ac:dyDescent="0.35">
      <c r="A7" s="43">
        <v>4</v>
      </c>
      <c r="B7" s="44" t="s">
        <v>422</v>
      </c>
      <c r="C7" s="44" t="s">
        <v>426</v>
      </c>
      <c r="D7" s="45" t="s">
        <v>63</v>
      </c>
      <c r="E7" s="45" t="s">
        <v>1666</v>
      </c>
      <c r="F7" s="51" t="s">
        <v>63</v>
      </c>
      <c r="G7" s="46"/>
    </row>
    <row r="8" spans="1:7" ht="24" customHeight="1" x14ac:dyDescent="0.35">
      <c r="A8" s="43">
        <v>5</v>
      </c>
      <c r="B8" s="44" t="s">
        <v>422</v>
      </c>
      <c r="C8" s="44" t="s">
        <v>427</v>
      </c>
      <c r="D8" s="45" t="s">
        <v>63</v>
      </c>
      <c r="E8" s="45" t="s">
        <v>1667</v>
      </c>
      <c r="F8" s="51" t="s">
        <v>63</v>
      </c>
      <c r="G8" s="46"/>
    </row>
    <row r="9" spans="1:7" ht="24" customHeight="1" x14ac:dyDescent="0.35">
      <c r="A9" s="43">
        <v>6</v>
      </c>
      <c r="B9" s="44" t="s">
        <v>422</v>
      </c>
      <c r="C9" s="44" t="s">
        <v>428</v>
      </c>
      <c r="D9" s="45" t="s">
        <v>63</v>
      </c>
      <c r="E9" s="45"/>
      <c r="F9" s="51" t="s">
        <v>63</v>
      </c>
      <c r="G9" s="46"/>
    </row>
    <row r="10" spans="1:7" ht="24" customHeight="1" x14ac:dyDescent="0.35">
      <c r="A10" s="43">
        <v>7</v>
      </c>
      <c r="B10" s="44" t="s">
        <v>429</v>
      </c>
      <c r="C10" s="44" t="s">
        <v>430</v>
      </c>
      <c r="D10" s="45" t="s">
        <v>63</v>
      </c>
      <c r="E10" s="45" t="s">
        <v>1668</v>
      </c>
      <c r="F10" s="51" t="s">
        <v>63</v>
      </c>
      <c r="G10" s="46"/>
    </row>
    <row r="11" spans="1:7" ht="24" customHeight="1" x14ac:dyDescent="0.35">
      <c r="A11" s="43">
        <v>8</v>
      </c>
      <c r="B11" s="44" t="s">
        <v>429</v>
      </c>
      <c r="C11" s="44" t="s">
        <v>431</v>
      </c>
      <c r="D11" s="45" t="s">
        <v>63</v>
      </c>
      <c r="E11" s="45" t="s">
        <v>1677</v>
      </c>
      <c r="F11" s="51" t="s">
        <v>63</v>
      </c>
      <c r="G11" s="46"/>
    </row>
    <row r="12" spans="1:7" ht="42.75" customHeight="1" x14ac:dyDescent="0.35">
      <c r="A12" s="43">
        <v>9</v>
      </c>
      <c r="B12" s="44" t="s">
        <v>432</v>
      </c>
      <c r="C12" s="44" t="s">
        <v>433</v>
      </c>
      <c r="D12" s="45" t="s">
        <v>63</v>
      </c>
      <c r="E12" s="45" t="s">
        <v>1732</v>
      </c>
      <c r="F12" s="51" t="s">
        <v>63</v>
      </c>
      <c r="G12" s="46" t="s">
        <v>434</v>
      </c>
    </row>
    <row r="13" spans="1:7" ht="42.75" customHeight="1" x14ac:dyDescent="0.35">
      <c r="A13" s="43">
        <v>10</v>
      </c>
      <c r="B13" s="44" t="s">
        <v>432</v>
      </c>
      <c r="C13" s="44" t="s">
        <v>435</v>
      </c>
      <c r="D13" s="45" t="s">
        <v>63</v>
      </c>
      <c r="E13" s="45" t="s">
        <v>1731</v>
      </c>
      <c r="F13" s="51" t="s">
        <v>63</v>
      </c>
      <c r="G13" s="46" t="s">
        <v>434</v>
      </c>
    </row>
    <row r="14" spans="1:7" ht="42.75" customHeight="1" x14ac:dyDescent="0.35">
      <c r="A14" s="43">
        <v>11</v>
      </c>
      <c r="B14" s="44" t="s">
        <v>432</v>
      </c>
      <c r="C14" s="44" t="s">
        <v>436</v>
      </c>
      <c r="D14" s="45" t="s">
        <v>63</v>
      </c>
      <c r="E14" s="45" t="s">
        <v>1669</v>
      </c>
      <c r="F14" s="51" t="s">
        <v>63</v>
      </c>
      <c r="G14" s="46" t="s">
        <v>434</v>
      </c>
    </row>
    <row r="15" spans="1:7" ht="42.75" customHeight="1" x14ac:dyDescent="0.35">
      <c r="A15" s="43">
        <v>12</v>
      </c>
      <c r="B15" s="44" t="s">
        <v>432</v>
      </c>
      <c r="C15" s="44" t="s">
        <v>437</v>
      </c>
      <c r="D15" s="45" t="s">
        <v>63</v>
      </c>
      <c r="E15" s="45" t="s">
        <v>1669</v>
      </c>
      <c r="F15" s="51" t="s">
        <v>63</v>
      </c>
      <c r="G15" s="46" t="s">
        <v>434</v>
      </c>
    </row>
    <row r="16" spans="1:7" ht="42.75" customHeight="1" x14ac:dyDescent="0.35">
      <c r="A16" s="43">
        <v>13</v>
      </c>
      <c r="B16" s="44" t="s">
        <v>432</v>
      </c>
      <c r="C16" s="44" t="s">
        <v>438</v>
      </c>
      <c r="D16" s="45" t="s">
        <v>63</v>
      </c>
      <c r="E16" s="45" t="s">
        <v>1727</v>
      </c>
      <c r="F16" s="51" t="s">
        <v>63</v>
      </c>
      <c r="G16" s="46" t="s">
        <v>434</v>
      </c>
    </row>
    <row r="17" spans="1:7" ht="42.75" customHeight="1" x14ac:dyDescent="0.35">
      <c r="A17" s="43">
        <v>14</v>
      </c>
      <c r="B17" s="44" t="s">
        <v>432</v>
      </c>
      <c r="C17" s="44" t="s">
        <v>439</v>
      </c>
      <c r="D17" s="45" t="s">
        <v>63</v>
      </c>
      <c r="E17" s="45" t="s">
        <v>1728</v>
      </c>
      <c r="F17" s="51" t="s">
        <v>63</v>
      </c>
      <c r="G17" s="46" t="s">
        <v>434</v>
      </c>
    </row>
    <row r="18" spans="1:7" ht="42.75" customHeight="1" x14ac:dyDescent="0.35">
      <c r="A18" s="43">
        <v>15</v>
      </c>
      <c r="B18" s="44" t="s">
        <v>432</v>
      </c>
      <c r="C18" s="44" t="s">
        <v>440</v>
      </c>
      <c r="D18" s="45" t="s">
        <v>63</v>
      </c>
      <c r="E18" s="45" t="s">
        <v>1671</v>
      </c>
      <c r="F18" s="51" t="s">
        <v>63</v>
      </c>
      <c r="G18" s="46" t="s">
        <v>434</v>
      </c>
    </row>
    <row r="19" spans="1:7" ht="42.75" customHeight="1" x14ac:dyDescent="0.35">
      <c r="A19" s="43">
        <v>16</v>
      </c>
      <c r="B19" s="44" t="s">
        <v>432</v>
      </c>
      <c r="C19" s="44" t="s">
        <v>441</v>
      </c>
      <c r="D19" s="45" t="s">
        <v>63</v>
      </c>
      <c r="E19" s="45"/>
      <c r="F19" s="51" t="s">
        <v>63</v>
      </c>
      <c r="G19" s="46" t="s">
        <v>434</v>
      </c>
    </row>
    <row r="20" spans="1:7" ht="42.75" customHeight="1" x14ac:dyDescent="0.35">
      <c r="A20" s="43">
        <v>17</v>
      </c>
      <c r="B20" s="44" t="s">
        <v>432</v>
      </c>
      <c r="C20" s="44" t="s">
        <v>442</v>
      </c>
      <c r="D20" s="45" t="s">
        <v>63</v>
      </c>
      <c r="E20" s="45" t="s">
        <v>1672</v>
      </c>
      <c r="F20" s="51" t="s">
        <v>63</v>
      </c>
      <c r="G20" s="46" t="s">
        <v>434</v>
      </c>
    </row>
    <row r="21" spans="1:7" ht="24" customHeight="1" x14ac:dyDescent="0.35">
      <c r="A21" s="43">
        <v>18</v>
      </c>
      <c r="B21" s="44" t="s">
        <v>432</v>
      </c>
      <c r="C21" s="44" t="s">
        <v>443</v>
      </c>
      <c r="D21" s="45" t="s">
        <v>63</v>
      </c>
      <c r="E21" s="45" t="s">
        <v>1673</v>
      </c>
      <c r="F21" s="51" t="s">
        <v>63</v>
      </c>
      <c r="G21" s="46" t="s">
        <v>434</v>
      </c>
    </row>
    <row r="22" spans="1:7" ht="42.75" customHeight="1" x14ac:dyDescent="0.35">
      <c r="A22" s="43">
        <v>19</v>
      </c>
      <c r="B22" s="44" t="s">
        <v>432</v>
      </c>
      <c r="C22" s="44" t="s">
        <v>444</v>
      </c>
      <c r="D22" s="45" t="s">
        <v>63</v>
      </c>
      <c r="E22" s="45" t="s">
        <v>1673</v>
      </c>
      <c r="F22" s="51" t="s">
        <v>63</v>
      </c>
      <c r="G22" s="46" t="s">
        <v>434</v>
      </c>
    </row>
    <row r="23" spans="1:7" ht="24" customHeight="1" x14ac:dyDescent="0.35">
      <c r="A23" s="43">
        <v>20</v>
      </c>
      <c r="B23" s="44" t="s">
        <v>432</v>
      </c>
      <c r="C23" s="44" t="s">
        <v>445</v>
      </c>
      <c r="D23" s="45" t="s">
        <v>63</v>
      </c>
      <c r="E23" s="45" t="s">
        <v>1674</v>
      </c>
      <c r="F23" s="51" t="s">
        <v>63</v>
      </c>
      <c r="G23" s="46" t="s">
        <v>434</v>
      </c>
    </row>
    <row r="24" spans="1:7" ht="24" customHeight="1" x14ac:dyDescent="0.35">
      <c r="A24" s="43">
        <v>21</v>
      </c>
      <c r="B24" s="44" t="s">
        <v>432</v>
      </c>
      <c r="C24" s="44" t="s">
        <v>446</v>
      </c>
      <c r="D24" s="45" t="s">
        <v>63</v>
      </c>
      <c r="E24" s="45" t="s">
        <v>416</v>
      </c>
      <c r="F24" s="51" t="s">
        <v>63</v>
      </c>
      <c r="G24" s="46" t="s">
        <v>434</v>
      </c>
    </row>
    <row r="25" spans="1:7" ht="42.75" customHeight="1" x14ac:dyDescent="0.35">
      <c r="A25" s="43">
        <v>22</v>
      </c>
      <c r="B25" s="44" t="s">
        <v>432</v>
      </c>
      <c r="C25" s="44" t="s">
        <v>441</v>
      </c>
      <c r="D25" s="45" t="s">
        <v>63</v>
      </c>
      <c r="E25" s="45" t="s">
        <v>416</v>
      </c>
      <c r="F25" s="51" t="s">
        <v>63</v>
      </c>
      <c r="G25" s="46" t="s">
        <v>434</v>
      </c>
    </row>
    <row r="26" spans="1:7" ht="42.75" customHeight="1" x14ac:dyDescent="0.35">
      <c r="A26" s="43">
        <v>23</v>
      </c>
      <c r="B26" s="44" t="s">
        <v>432</v>
      </c>
      <c r="C26" s="44" t="s">
        <v>442</v>
      </c>
      <c r="D26" s="45" t="s">
        <v>63</v>
      </c>
      <c r="E26" s="45" t="s">
        <v>416</v>
      </c>
      <c r="F26" s="51" t="s">
        <v>63</v>
      </c>
      <c r="G26" s="46" t="s">
        <v>434</v>
      </c>
    </row>
    <row r="27" spans="1:7" ht="24" customHeight="1" x14ac:dyDescent="0.35">
      <c r="A27" s="43">
        <v>24</v>
      </c>
      <c r="B27" s="44" t="s">
        <v>432</v>
      </c>
      <c r="C27" s="44" t="s">
        <v>443</v>
      </c>
      <c r="D27" s="45" t="s">
        <v>63</v>
      </c>
      <c r="E27" s="45" t="s">
        <v>416</v>
      </c>
      <c r="F27" s="51" t="s">
        <v>63</v>
      </c>
      <c r="G27" s="46" t="s">
        <v>434</v>
      </c>
    </row>
    <row r="28" spans="1:7" ht="42.75" customHeight="1" x14ac:dyDescent="0.35">
      <c r="A28" s="43">
        <v>25</v>
      </c>
      <c r="B28" s="44" t="s">
        <v>432</v>
      </c>
      <c r="C28" s="44" t="s">
        <v>444</v>
      </c>
      <c r="D28" s="45" t="s">
        <v>63</v>
      </c>
      <c r="E28" s="45" t="s">
        <v>416</v>
      </c>
      <c r="F28" s="51" t="s">
        <v>63</v>
      </c>
      <c r="G28" s="46" t="s">
        <v>434</v>
      </c>
    </row>
    <row r="29" spans="1:7" ht="24" customHeight="1" x14ac:dyDescent="0.35">
      <c r="A29" s="43">
        <v>26</v>
      </c>
      <c r="B29" s="44" t="s">
        <v>432</v>
      </c>
      <c r="C29" s="44" t="s">
        <v>445</v>
      </c>
      <c r="D29" s="45" t="s">
        <v>63</v>
      </c>
      <c r="E29" s="45" t="s">
        <v>416</v>
      </c>
      <c r="F29" s="51" t="s">
        <v>63</v>
      </c>
      <c r="G29" s="46" t="s">
        <v>434</v>
      </c>
    </row>
    <row r="30" spans="1:7" ht="42.75" customHeight="1" x14ac:dyDescent="0.35">
      <c r="A30" s="43">
        <v>27</v>
      </c>
      <c r="B30" s="44" t="s">
        <v>432</v>
      </c>
      <c r="C30" s="44" t="s">
        <v>447</v>
      </c>
      <c r="D30" s="45" t="s">
        <v>63</v>
      </c>
      <c r="E30" s="45" t="s">
        <v>1675</v>
      </c>
      <c r="F30" s="51" t="s">
        <v>63</v>
      </c>
      <c r="G30" s="46" t="s">
        <v>434</v>
      </c>
    </row>
    <row r="31" spans="1:7" ht="42.75" customHeight="1" x14ac:dyDescent="0.35">
      <c r="A31" s="43">
        <v>28</v>
      </c>
      <c r="B31" s="44" t="s">
        <v>432</v>
      </c>
      <c r="C31" s="44" t="s">
        <v>448</v>
      </c>
      <c r="D31" s="45" t="s">
        <v>63</v>
      </c>
      <c r="E31" s="45" t="s">
        <v>1675</v>
      </c>
      <c r="F31" s="51" t="s">
        <v>63</v>
      </c>
      <c r="G31" s="46" t="s">
        <v>434</v>
      </c>
    </row>
    <row r="32" spans="1:7" ht="42.75" customHeight="1" x14ac:dyDescent="0.35">
      <c r="A32" s="43">
        <v>29</v>
      </c>
      <c r="B32" s="44" t="s">
        <v>432</v>
      </c>
      <c r="C32" s="44" t="s">
        <v>449</v>
      </c>
      <c r="D32" s="45" t="s">
        <v>63</v>
      </c>
      <c r="E32" s="45" t="s">
        <v>1676</v>
      </c>
      <c r="F32" s="51" t="s">
        <v>63</v>
      </c>
      <c r="G32" s="46" t="s">
        <v>434</v>
      </c>
    </row>
    <row r="33" spans="1:7" ht="24" customHeight="1" x14ac:dyDescent="0.35">
      <c r="A33" s="43">
        <v>30</v>
      </c>
      <c r="B33" s="44" t="s">
        <v>432</v>
      </c>
      <c r="C33" s="44" t="s">
        <v>450</v>
      </c>
      <c r="D33" s="45" t="s">
        <v>63</v>
      </c>
      <c r="E33" s="45" t="s">
        <v>1676</v>
      </c>
      <c r="F33" s="51" t="s">
        <v>63</v>
      </c>
      <c r="G33" s="46" t="s">
        <v>451</v>
      </c>
    </row>
    <row r="34" spans="1:7" ht="24" customHeight="1" x14ac:dyDescent="0.35">
      <c r="A34" s="43">
        <v>31</v>
      </c>
      <c r="B34" s="44" t="s">
        <v>432</v>
      </c>
      <c r="C34" s="44" t="s">
        <v>452</v>
      </c>
      <c r="D34" s="45" t="s">
        <v>63</v>
      </c>
      <c r="E34" s="45" t="s">
        <v>1675</v>
      </c>
      <c r="F34" s="51" t="s">
        <v>63</v>
      </c>
      <c r="G34" s="46"/>
    </row>
    <row r="35" spans="1:7" ht="42.75" customHeight="1" x14ac:dyDescent="0.35">
      <c r="A35" s="43">
        <v>32</v>
      </c>
      <c r="B35" s="44" t="s">
        <v>432</v>
      </c>
      <c r="C35" s="44" t="s">
        <v>453</v>
      </c>
      <c r="D35" s="45" t="s">
        <v>63</v>
      </c>
      <c r="E35" s="45" t="s">
        <v>1677</v>
      </c>
      <c r="F35" s="51" t="s">
        <v>63</v>
      </c>
      <c r="G35" s="46"/>
    </row>
    <row r="36" spans="1:7" ht="24" customHeight="1" x14ac:dyDescent="0.35">
      <c r="A36" s="43">
        <v>33</v>
      </c>
      <c r="B36" s="44" t="s">
        <v>111</v>
      </c>
      <c r="C36" s="44" t="s">
        <v>454</v>
      </c>
      <c r="D36" s="45" t="s">
        <v>63</v>
      </c>
      <c r="E36" s="45" t="s">
        <v>1678</v>
      </c>
      <c r="F36" s="51" t="s">
        <v>63</v>
      </c>
      <c r="G36" s="46" t="s">
        <v>455</v>
      </c>
    </row>
    <row r="37" spans="1:7" ht="24" customHeight="1" x14ac:dyDescent="0.35">
      <c r="A37" s="43">
        <v>34</v>
      </c>
      <c r="B37" s="44" t="s">
        <v>111</v>
      </c>
      <c r="C37" s="44" t="s">
        <v>456</v>
      </c>
      <c r="D37" s="45" t="s">
        <v>63</v>
      </c>
      <c r="E37" s="45" t="s">
        <v>1679</v>
      </c>
      <c r="F37" s="51" t="s">
        <v>63</v>
      </c>
      <c r="G37" s="46" t="s">
        <v>455</v>
      </c>
    </row>
    <row r="38" spans="1:7" ht="24" customHeight="1" x14ac:dyDescent="0.35">
      <c r="A38" s="43">
        <v>35</v>
      </c>
      <c r="B38" s="44" t="s">
        <v>111</v>
      </c>
      <c r="C38" s="44" t="s">
        <v>457</v>
      </c>
      <c r="D38" s="45" t="s">
        <v>63</v>
      </c>
      <c r="E38" s="45" t="s">
        <v>1679</v>
      </c>
      <c r="F38" s="51" t="s">
        <v>63</v>
      </c>
      <c r="G38" s="46" t="s">
        <v>455</v>
      </c>
    </row>
    <row r="39" spans="1:7" ht="24" customHeight="1" x14ac:dyDescent="0.35">
      <c r="A39" s="43">
        <v>36</v>
      </c>
      <c r="B39" s="44" t="s">
        <v>111</v>
      </c>
      <c r="C39" s="44" t="s">
        <v>127</v>
      </c>
      <c r="D39" s="45" t="s">
        <v>63</v>
      </c>
      <c r="E39" s="45" t="s">
        <v>1678</v>
      </c>
      <c r="F39" s="51" t="s">
        <v>63</v>
      </c>
      <c r="G39" s="46" t="s">
        <v>455</v>
      </c>
    </row>
    <row r="40" spans="1:7" ht="24" customHeight="1" x14ac:dyDescent="0.35">
      <c r="A40" s="43">
        <v>37</v>
      </c>
      <c r="B40" s="44" t="s">
        <v>111</v>
      </c>
      <c r="C40" s="44" t="s">
        <v>133</v>
      </c>
      <c r="D40" s="45" t="s">
        <v>63</v>
      </c>
      <c r="E40" s="45" t="s">
        <v>1678</v>
      </c>
      <c r="F40" s="51" t="s">
        <v>63</v>
      </c>
      <c r="G40" s="46" t="s">
        <v>455</v>
      </c>
    </row>
    <row r="41" spans="1:7" ht="24" customHeight="1" x14ac:dyDescent="0.35">
      <c r="A41" s="43">
        <v>38</v>
      </c>
      <c r="B41" s="44" t="s">
        <v>111</v>
      </c>
      <c r="C41" s="44" t="s">
        <v>136</v>
      </c>
      <c r="D41" s="45" t="s">
        <v>63</v>
      </c>
      <c r="E41" s="45" t="s">
        <v>1678</v>
      </c>
      <c r="F41" s="51" t="s">
        <v>63</v>
      </c>
      <c r="G41" s="46" t="s">
        <v>455</v>
      </c>
    </row>
    <row r="42" spans="1:7" ht="24" customHeight="1" x14ac:dyDescent="0.35">
      <c r="A42" s="43">
        <v>39</v>
      </c>
      <c r="B42" s="44" t="s">
        <v>111</v>
      </c>
      <c r="C42" s="44" t="s">
        <v>458</v>
      </c>
      <c r="D42" s="45" t="s">
        <v>63</v>
      </c>
      <c r="E42" s="45" t="s">
        <v>1678</v>
      </c>
      <c r="F42" s="51" t="s">
        <v>63</v>
      </c>
      <c r="G42" s="46" t="s">
        <v>455</v>
      </c>
    </row>
    <row r="43" spans="1:7" ht="24" customHeight="1" x14ac:dyDescent="0.35">
      <c r="A43" s="43">
        <v>40</v>
      </c>
      <c r="B43" s="44" t="s">
        <v>111</v>
      </c>
      <c r="C43" s="44" t="s">
        <v>459</v>
      </c>
      <c r="D43" s="45" t="s">
        <v>63</v>
      </c>
      <c r="E43" s="45" t="s">
        <v>1678</v>
      </c>
      <c r="F43" s="51" t="s">
        <v>63</v>
      </c>
      <c r="G43" s="46" t="s">
        <v>455</v>
      </c>
    </row>
    <row r="44" spans="1:7" ht="24" customHeight="1" x14ac:dyDescent="0.35">
      <c r="A44" s="43">
        <v>41</v>
      </c>
      <c r="B44" s="44" t="s">
        <v>111</v>
      </c>
      <c r="C44" s="44" t="s">
        <v>460</v>
      </c>
      <c r="D44" s="45" t="s">
        <v>63</v>
      </c>
      <c r="E44" s="45" t="s">
        <v>1678</v>
      </c>
      <c r="F44" s="51" t="s">
        <v>63</v>
      </c>
      <c r="G44" s="46" t="s">
        <v>455</v>
      </c>
    </row>
    <row r="45" spans="1:7" ht="24" customHeight="1" x14ac:dyDescent="0.35">
      <c r="A45" s="43">
        <v>42</v>
      </c>
      <c r="B45" s="44" t="s">
        <v>111</v>
      </c>
      <c r="C45" s="44" t="s">
        <v>461</v>
      </c>
      <c r="D45" s="45" t="s">
        <v>63</v>
      </c>
      <c r="E45" s="45" t="s">
        <v>1678</v>
      </c>
      <c r="F45" s="51" t="s">
        <v>63</v>
      </c>
      <c r="G45" s="46" t="s">
        <v>455</v>
      </c>
    </row>
    <row r="46" spans="1:7" ht="24" customHeight="1" x14ac:dyDescent="0.35">
      <c r="A46" s="43">
        <v>43</v>
      </c>
      <c r="B46" s="44" t="s">
        <v>111</v>
      </c>
      <c r="C46" s="44" t="s">
        <v>462</v>
      </c>
      <c r="D46" s="45" t="s">
        <v>63</v>
      </c>
      <c r="E46" s="45" t="s">
        <v>1678</v>
      </c>
      <c r="F46" s="51" t="s">
        <v>63</v>
      </c>
      <c r="G46" s="46" t="s">
        <v>455</v>
      </c>
    </row>
    <row r="47" spans="1:7" ht="24" customHeight="1" x14ac:dyDescent="0.35">
      <c r="A47" s="43">
        <v>44</v>
      </c>
      <c r="B47" s="44" t="s">
        <v>111</v>
      </c>
      <c r="C47" s="44" t="s">
        <v>463</v>
      </c>
      <c r="D47" s="45" t="s">
        <v>63</v>
      </c>
      <c r="E47" s="45" t="s">
        <v>1678</v>
      </c>
      <c r="F47" s="51" t="s">
        <v>63</v>
      </c>
      <c r="G47" s="46" t="s">
        <v>455</v>
      </c>
    </row>
    <row r="48" spans="1:7" ht="48" customHeight="1" x14ac:dyDescent="0.35">
      <c r="A48" s="43">
        <v>45</v>
      </c>
      <c r="B48" s="44" t="s">
        <v>111</v>
      </c>
      <c r="C48" s="44" t="s">
        <v>464</v>
      </c>
      <c r="D48" s="45" t="s">
        <v>63</v>
      </c>
      <c r="E48" s="45" t="s">
        <v>1678</v>
      </c>
      <c r="F48" s="51" t="s">
        <v>63</v>
      </c>
      <c r="G48" s="46" t="s">
        <v>455</v>
      </c>
    </row>
    <row r="49" spans="1:7" ht="24" customHeight="1" x14ac:dyDescent="0.35">
      <c r="A49" s="43">
        <v>46</v>
      </c>
      <c r="B49" s="44" t="s">
        <v>111</v>
      </c>
      <c r="C49" s="44" t="s">
        <v>465</v>
      </c>
      <c r="D49" s="45" t="s">
        <v>63</v>
      </c>
      <c r="E49" s="45" t="s">
        <v>1678</v>
      </c>
      <c r="F49" s="51" t="s">
        <v>63</v>
      </c>
      <c r="G49" s="46" t="s">
        <v>455</v>
      </c>
    </row>
    <row r="50" spans="1:7" ht="24" customHeight="1" x14ac:dyDescent="0.35">
      <c r="A50" s="43">
        <v>47</v>
      </c>
      <c r="B50" s="44" t="s">
        <v>111</v>
      </c>
      <c r="C50" s="44" t="s">
        <v>466</v>
      </c>
      <c r="D50" s="45" t="s">
        <v>63</v>
      </c>
      <c r="E50" s="45" t="s">
        <v>1678</v>
      </c>
      <c r="F50" s="51" t="s">
        <v>63</v>
      </c>
      <c r="G50" s="46" t="s">
        <v>455</v>
      </c>
    </row>
    <row r="51" spans="1:7" ht="24" customHeight="1" x14ac:dyDescent="0.35">
      <c r="A51" s="43">
        <v>48</v>
      </c>
      <c r="B51" s="44" t="s">
        <v>111</v>
      </c>
      <c r="C51" s="44" t="s">
        <v>467</v>
      </c>
      <c r="D51" s="45" t="s">
        <v>63</v>
      </c>
      <c r="E51" s="45" t="s">
        <v>1678</v>
      </c>
      <c r="F51" s="51" t="s">
        <v>63</v>
      </c>
      <c r="G51" s="46" t="s">
        <v>455</v>
      </c>
    </row>
    <row r="52" spans="1:7" ht="24" customHeight="1" x14ac:dyDescent="0.35">
      <c r="A52" s="43">
        <v>49</v>
      </c>
      <c r="B52" s="44" t="s">
        <v>111</v>
      </c>
      <c r="C52" s="44" t="s">
        <v>468</v>
      </c>
      <c r="D52" s="45" t="s">
        <v>63</v>
      </c>
      <c r="E52" s="45" t="s">
        <v>1678</v>
      </c>
      <c r="F52" s="51" t="s">
        <v>63</v>
      </c>
      <c r="G52" s="46" t="s">
        <v>455</v>
      </c>
    </row>
    <row r="53" spans="1:7" ht="24" customHeight="1" x14ac:dyDescent="0.35">
      <c r="A53" s="43">
        <v>50</v>
      </c>
      <c r="B53" s="44" t="s">
        <v>111</v>
      </c>
      <c r="C53" s="44" t="s">
        <v>127</v>
      </c>
      <c r="D53" s="45" t="s">
        <v>63</v>
      </c>
      <c r="E53" s="45" t="s">
        <v>1678</v>
      </c>
      <c r="F53" s="51" t="s">
        <v>63</v>
      </c>
      <c r="G53" s="46" t="s">
        <v>455</v>
      </c>
    </row>
    <row r="54" spans="1:7" ht="24" customHeight="1" x14ac:dyDescent="0.35">
      <c r="A54" s="43">
        <v>51</v>
      </c>
      <c r="B54" s="44" t="s">
        <v>111</v>
      </c>
      <c r="C54" s="44" t="s">
        <v>133</v>
      </c>
      <c r="D54" s="45" t="s">
        <v>63</v>
      </c>
      <c r="E54" s="45" t="s">
        <v>1678</v>
      </c>
      <c r="F54" s="51" t="s">
        <v>63</v>
      </c>
      <c r="G54" s="46" t="s">
        <v>455</v>
      </c>
    </row>
    <row r="55" spans="1:7" ht="24" customHeight="1" x14ac:dyDescent="0.35">
      <c r="A55" s="43">
        <v>52</v>
      </c>
      <c r="B55" s="44" t="s">
        <v>111</v>
      </c>
      <c r="C55" s="44" t="s">
        <v>136</v>
      </c>
      <c r="D55" s="45" t="s">
        <v>63</v>
      </c>
      <c r="E55" s="45" t="s">
        <v>1678</v>
      </c>
      <c r="F55" s="51" t="s">
        <v>63</v>
      </c>
      <c r="G55" s="46" t="s">
        <v>455</v>
      </c>
    </row>
    <row r="56" spans="1:7" ht="24" customHeight="1" x14ac:dyDescent="0.35">
      <c r="A56" s="43">
        <v>53</v>
      </c>
      <c r="B56" s="44" t="s">
        <v>111</v>
      </c>
      <c r="C56" s="44" t="s">
        <v>458</v>
      </c>
      <c r="D56" s="45" t="s">
        <v>63</v>
      </c>
      <c r="E56" s="45" t="s">
        <v>1678</v>
      </c>
      <c r="F56" s="51" t="s">
        <v>63</v>
      </c>
      <c r="G56" s="46" t="s">
        <v>455</v>
      </c>
    </row>
    <row r="57" spans="1:7" ht="24" customHeight="1" x14ac:dyDescent="0.35">
      <c r="A57" s="43">
        <v>54</v>
      </c>
      <c r="B57" s="44" t="s">
        <v>111</v>
      </c>
      <c r="C57" s="44" t="s">
        <v>459</v>
      </c>
      <c r="D57" s="45" t="s">
        <v>63</v>
      </c>
      <c r="E57" s="45" t="s">
        <v>1678</v>
      </c>
      <c r="F57" s="51" t="s">
        <v>63</v>
      </c>
      <c r="G57" s="46" t="s">
        <v>455</v>
      </c>
    </row>
    <row r="58" spans="1:7" ht="24" customHeight="1" x14ac:dyDescent="0.35">
      <c r="A58" s="43">
        <v>55</v>
      </c>
      <c r="B58" s="44" t="s">
        <v>111</v>
      </c>
      <c r="C58" s="44" t="s">
        <v>469</v>
      </c>
      <c r="D58" s="45" t="s">
        <v>63</v>
      </c>
      <c r="E58" s="45" t="s">
        <v>1678</v>
      </c>
      <c r="F58" s="51" t="s">
        <v>63</v>
      </c>
      <c r="G58" s="46" t="s">
        <v>455</v>
      </c>
    </row>
    <row r="59" spans="1:7" ht="24" customHeight="1" x14ac:dyDescent="0.35">
      <c r="A59" s="43">
        <v>56</v>
      </c>
      <c r="B59" s="44" t="s">
        <v>111</v>
      </c>
      <c r="C59" s="44" t="s">
        <v>461</v>
      </c>
      <c r="D59" s="45" t="s">
        <v>63</v>
      </c>
      <c r="E59" s="45" t="s">
        <v>1678</v>
      </c>
      <c r="F59" s="51" t="s">
        <v>63</v>
      </c>
      <c r="G59" s="46" t="s">
        <v>455</v>
      </c>
    </row>
    <row r="60" spans="1:7" ht="24" customHeight="1" x14ac:dyDescent="0.35">
      <c r="A60" s="43">
        <v>57</v>
      </c>
      <c r="B60" s="44" t="s">
        <v>111</v>
      </c>
      <c r="C60" s="44" t="s">
        <v>465</v>
      </c>
      <c r="D60" s="45" t="s">
        <v>63</v>
      </c>
      <c r="E60" s="45" t="s">
        <v>1678</v>
      </c>
      <c r="F60" s="51" t="s">
        <v>63</v>
      </c>
      <c r="G60" s="46" t="s">
        <v>455</v>
      </c>
    </row>
    <row r="61" spans="1:7" ht="24" customHeight="1" x14ac:dyDescent="0.35">
      <c r="A61" s="43">
        <v>58</v>
      </c>
      <c r="B61" s="44" t="s">
        <v>111</v>
      </c>
      <c r="C61" s="44" t="s">
        <v>470</v>
      </c>
      <c r="D61" s="45" t="s">
        <v>63</v>
      </c>
      <c r="E61" s="45" t="s">
        <v>1678</v>
      </c>
      <c r="F61" s="51" t="s">
        <v>63</v>
      </c>
      <c r="G61" s="46" t="s">
        <v>455</v>
      </c>
    </row>
    <row r="62" spans="1:7" ht="24" customHeight="1" x14ac:dyDescent="0.35">
      <c r="A62" s="43">
        <v>59</v>
      </c>
      <c r="B62" s="44" t="s">
        <v>111</v>
      </c>
      <c r="C62" s="44" t="s">
        <v>471</v>
      </c>
      <c r="D62" s="45" t="s">
        <v>63</v>
      </c>
      <c r="E62" s="45" t="s">
        <v>1678</v>
      </c>
      <c r="F62" s="51" t="s">
        <v>63</v>
      </c>
      <c r="G62" s="46" t="s">
        <v>455</v>
      </c>
    </row>
    <row r="63" spans="1:7" ht="24" customHeight="1" x14ac:dyDescent="0.35">
      <c r="A63" s="43">
        <v>60</v>
      </c>
      <c r="B63" s="44" t="s">
        <v>112</v>
      </c>
      <c r="C63" s="44" t="s">
        <v>472</v>
      </c>
      <c r="D63" s="45" t="s">
        <v>63</v>
      </c>
      <c r="E63" s="45" t="s">
        <v>1680</v>
      </c>
      <c r="F63" s="51" t="s">
        <v>63</v>
      </c>
      <c r="G63" s="46" t="s">
        <v>473</v>
      </c>
    </row>
    <row r="64" spans="1:7" ht="24" customHeight="1" x14ac:dyDescent="0.35">
      <c r="A64" s="43">
        <v>61</v>
      </c>
      <c r="B64" s="44" t="s">
        <v>112</v>
      </c>
      <c r="C64" s="44" t="s">
        <v>474</v>
      </c>
      <c r="D64" s="45" t="s">
        <v>63</v>
      </c>
      <c r="E64" s="45" t="s">
        <v>1680</v>
      </c>
      <c r="F64" s="51" t="s">
        <v>63</v>
      </c>
      <c r="G64" s="46" t="s">
        <v>475</v>
      </c>
    </row>
    <row r="65" spans="1:7" ht="32.25" customHeight="1" x14ac:dyDescent="0.35">
      <c r="A65" s="43">
        <v>62</v>
      </c>
      <c r="B65" s="44" t="s">
        <v>112</v>
      </c>
      <c r="C65" s="44" t="s">
        <v>476</v>
      </c>
      <c r="D65" s="45" t="s">
        <v>63</v>
      </c>
      <c r="E65" s="45" t="s">
        <v>1681</v>
      </c>
      <c r="F65" s="51" t="s">
        <v>63</v>
      </c>
      <c r="G65" s="46"/>
    </row>
    <row r="66" spans="1:7" ht="32.25" customHeight="1" x14ac:dyDescent="0.35">
      <c r="A66" s="43">
        <v>63</v>
      </c>
      <c r="B66" s="44" t="s">
        <v>112</v>
      </c>
      <c r="C66" s="44" t="s">
        <v>477</v>
      </c>
      <c r="D66" s="45" t="s">
        <v>63</v>
      </c>
      <c r="E66" s="45" t="s">
        <v>1681</v>
      </c>
      <c r="F66" s="51" t="s">
        <v>63</v>
      </c>
      <c r="G66" s="46"/>
    </row>
    <row r="67" spans="1:7" ht="32.25" customHeight="1" x14ac:dyDescent="0.35">
      <c r="A67" s="43">
        <v>64</v>
      </c>
      <c r="B67" s="44" t="s">
        <v>112</v>
      </c>
      <c r="C67" s="44" t="s">
        <v>478</v>
      </c>
      <c r="D67" s="45" t="s">
        <v>63</v>
      </c>
      <c r="E67" s="45" t="s">
        <v>1681</v>
      </c>
      <c r="F67" s="51" t="s">
        <v>63</v>
      </c>
      <c r="G67" s="46"/>
    </row>
    <row r="68" spans="1:7" ht="32.25" customHeight="1" x14ac:dyDescent="0.35">
      <c r="A68" s="43">
        <v>65</v>
      </c>
      <c r="B68" s="44" t="s">
        <v>112</v>
      </c>
      <c r="C68" s="44" t="s">
        <v>479</v>
      </c>
      <c r="D68" s="45" t="s">
        <v>63</v>
      </c>
      <c r="E68" s="45" t="s">
        <v>1682</v>
      </c>
      <c r="F68" s="51" t="s">
        <v>63</v>
      </c>
      <c r="G68" s="46"/>
    </row>
    <row r="69" spans="1:7" ht="32.25" customHeight="1" x14ac:dyDescent="0.35">
      <c r="A69" s="43">
        <v>66</v>
      </c>
      <c r="B69" s="44" t="s">
        <v>112</v>
      </c>
      <c r="C69" s="44" t="s">
        <v>426</v>
      </c>
      <c r="D69" s="45" t="s">
        <v>63</v>
      </c>
      <c r="E69" s="45" t="s">
        <v>1682</v>
      </c>
      <c r="F69" s="51" t="s">
        <v>63</v>
      </c>
      <c r="G69" s="46"/>
    </row>
    <row r="70" spans="1:7" ht="32.25" customHeight="1" x14ac:dyDescent="0.35">
      <c r="A70" s="43">
        <v>67</v>
      </c>
      <c r="B70" s="44" t="s">
        <v>112</v>
      </c>
      <c r="C70" s="44" t="s">
        <v>480</v>
      </c>
      <c r="D70" s="45" t="s">
        <v>63</v>
      </c>
      <c r="E70" s="45" t="s">
        <v>1683</v>
      </c>
      <c r="F70" s="51" t="s">
        <v>63</v>
      </c>
      <c r="G70" s="46"/>
    </row>
    <row r="71" spans="1:7" ht="24" customHeight="1" x14ac:dyDescent="0.35">
      <c r="A71" s="43">
        <v>68</v>
      </c>
      <c r="B71" s="44" t="s">
        <v>112</v>
      </c>
      <c r="C71" s="44" t="s">
        <v>481</v>
      </c>
      <c r="D71" s="45" t="s">
        <v>63</v>
      </c>
      <c r="E71" s="45" t="s">
        <v>1682</v>
      </c>
      <c r="F71" s="51" t="s">
        <v>63</v>
      </c>
      <c r="G71" s="46"/>
    </row>
    <row r="72" spans="1:7" ht="24" customHeight="1" x14ac:dyDescent="0.35">
      <c r="A72" s="43">
        <v>69</v>
      </c>
      <c r="B72" s="44" t="s">
        <v>112</v>
      </c>
      <c r="C72" s="44" t="s">
        <v>482</v>
      </c>
      <c r="D72" s="45" t="s">
        <v>63</v>
      </c>
      <c r="E72" s="45" t="s">
        <v>1682</v>
      </c>
      <c r="F72" s="51" t="s">
        <v>63</v>
      </c>
      <c r="G72" s="46"/>
    </row>
    <row r="73" spans="1:7" ht="24" customHeight="1" x14ac:dyDescent="0.35">
      <c r="A73" s="43">
        <v>70</v>
      </c>
      <c r="B73" s="44" t="s">
        <v>113</v>
      </c>
      <c r="C73" s="44" t="s">
        <v>483</v>
      </c>
      <c r="D73" s="45" t="s">
        <v>63</v>
      </c>
      <c r="E73" s="45" t="s">
        <v>1675</v>
      </c>
      <c r="F73" s="51" t="s">
        <v>63</v>
      </c>
      <c r="G73" s="46"/>
    </row>
    <row r="74" spans="1:7" ht="24" customHeight="1" x14ac:dyDescent="0.35">
      <c r="A74" s="43">
        <v>71</v>
      </c>
      <c r="B74" s="44" t="s">
        <v>113</v>
      </c>
      <c r="C74" s="44" t="s">
        <v>484</v>
      </c>
      <c r="D74" s="45" t="s">
        <v>63</v>
      </c>
      <c r="E74" s="45" t="s">
        <v>1684</v>
      </c>
      <c r="F74" s="51" t="s">
        <v>63</v>
      </c>
      <c r="G74" s="46"/>
    </row>
    <row r="75" spans="1:7" ht="24" customHeight="1" x14ac:dyDescent="0.35">
      <c r="A75" s="43">
        <v>72</v>
      </c>
      <c r="B75" s="44" t="s">
        <v>113</v>
      </c>
      <c r="C75" s="44" t="s">
        <v>476</v>
      </c>
      <c r="D75" s="45" t="s">
        <v>63</v>
      </c>
      <c r="E75" s="45" t="s">
        <v>1685</v>
      </c>
      <c r="F75" s="51" t="s">
        <v>63</v>
      </c>
      <c r="G75" s="46"/>
    </row>
    <row r="76" spans="1:7" ht="24" customHeight="1" x14ac:dyDescent="0.35">
      <c r="A76" s="43">
        <v>73</v>
      </c>
      <c r="B76" s="44" t="s">
        <v>113</v>
      </c>
      <c r="C76" s="44" t="s">
        <v>485</v>
      </c>
      <c r="D76" s="45" t="s">
        <v>63</v>
      </c>
      <c r="E76" s="45" t="s">
        <v>1685</v>
      </c>
      <c r="F76" s="51" t="s">
        <v>63</v>
      </c>
      <c r="G76" s="46"/>
    </row>
    <row r="77" spans="1:7" ht="24" customHeight="1" x14ac:dyDescent="0.35">
      <c r="A77" s="43">
        <v>74</v>
      </c>
      <c r="B77" s="44" t="s">
        <v>113</v>
      </c>
      <c r="C77" s="44" t="s">
        <v>478</v>
      </c>
      <c r="D77" s="45" t="s">
        <v>63</v>
      </c>
      <c r="E77" s="45" t="s">
        <v>1685</v>
      </c>
      <c r="F77" s="51" t="s">
        <v>63</v>
      </c>
      <c r="G77" s="46"/>
    </row>
    <row r="78" spans="1:7" ht="24" customHeight="1" x14ac:dyDescent="0.35">
      <c r="A78" s="43">
        <v>75</v>
      </c>
      <c r="B78" s="44" t="s">
        <v>113</v>
      </c>
      <c r="C78" s="44" t="s">
        <v>486</v>
      </c>
      <c r="D78" s="45" t="s">
        <v>63</v>
      </c>
      <c r="E78" s="45" t="s">
        <v>1676</v>
      </c>
      <c r="F78" s="51" t="s">
        <v>63</v>
      </c>
      <c r="G78" s="46"/>
    </row>
    <row r="79" spans="1:7" ht="24" customHeight="1" x14ac:dyDescent="0.35">
      <c r="A79" s="43">
        <v>76</v>
      </c>
      <c r="B79" s="44" t="s">
        <v>113</v>
      </c>
      <c r="C79" s="44" t="s">
        <v>479</v>
      </c>
      <c r="D79" s="45" t="s">
        <v>63</v>
      </c>
      <c r="E79" s="45" t="s">
        <v>1686</v>
      </c>
      <c r="F79" s="51" t="s">
        <v>63</v>
      </c>
      <c r="G79" s="46"/>
    </row>
    <row r="80" spans="1:7" ht="24" customHeight="1" x14ac:dyDescent="0.35">
      <c r="A80" s="43">
        <v>77</v>
      </c>
      <c r="B80" s="44" t="s">
        <v>113</v>
      </c>
      <c r="C80" s="44" t="s">
        <v>480</v>
      </c>
      <c r="D80" s="45" t="s">
        <v>63</v>
      </c>
      <c r="E80" s="45" t="s">
        <v>1676</v>
      </c>
      <c r="F80" s="51" t="s">
        <v>63</v>
      </c>
      <c r="G80" s="46"/>
    </row>
    <row r="81" spans="1:7" ht="24" customHeight="1" x14ac:dyDescent="0.35">
      <c r="A81" s="43">
        <v>78</v>
      </c>
      <c r="B81" s="44" t="s">
        <v>113</v>
      </c>
      <c r="C81" s="44" t="s">
        <v>481</v>
      </c>
      <c r="D81" s="45" t="s">
        <v>63</v>
      </c>
      <c r="E81" s="45" t="s">
        <v>1686</v>
      </c>
      <c r="F81" s="51" t="s">
        <v>63</v>
      </c>
      <c r="G81" s="46"/>
    </row>
    <row r="82" spans="1:7" ht="24" customHeight="1" x14ac:dyDescent="0.35">
      <c r="A82" s="43">
        <v>79</v>
      </c>
      <c r="B82" s="44" t="s">
        <v>113</v>
      </c>
      <c r="C82" s="44" t="s">
        <v>482</v>
      </c>
      <c r="D82" s="45" t="s">
        <v>63</v>
      </c>
      <c r="E82" s="45" t="s">
        <v>1686</v>
      </c>
      <c r="F82" s="51" t="s">
        <v>63</v>
      </c>
      <c r="G82" s="46"/>
    </row>
    <row r="83" spans="1:7" ht="24" customHeight="1" x14ac:dyDescent="0.35">
      <c r="A83" s="43">
        <v>80</v>
      </c>
      <c r="B83" s="44" t="s">
        <v>114</v>
      </c>
      <c r="C83" s="44" t="s">
        <v>472</v>
      </c>
      <c r="D83" s="45" t="s">
        <v>63</v>
      </c>
      <c r="E83" s="45" t="s">
        <v>1687</v>
      </c>
      <c r="F83" s="51" t="s">
        <v>63</v>
      </c>
      <c r="G83" s="46"/>
    </row>
    <row r="84" spans="1:7" ht="34.5" x14ac:dyDescent="0.35">
      <c r="A84" s="43">
        <v>81</v>
      </c>
      <c r="B84" s="44" t="s">
        <v>114</v>
      </c>
      <c r="C84" s="44" t="s">
        <v>474</v>
      </c>
      <c r="D84" s="45" t="s">
        <v>63</v>
      </c>
      <c r="E84" s="45" t="s">
        <v>1729</v>
      </c>
      <c r="F84" s="51" t="s">
        <v>63</v>
      </c>
      <c r="G84" s="46"/>
    </row>
    <row r="85" spans="1:7" ht="22.5" customHeight="1" x14ac:dyDescent="0.35">
      <c r="A85" s="43">
        <v>82</v>
      </c>
      <c r="B85" s="44" t="s">
        <v>114</v>
      </c>
      <c r="C85" s="44" t="s">
        <v>487</v>
      </c>
      <c r="D85" s="45" t="s">
        <v>63</v>
      </c>
      <c r="E85" s="45" t="s">
        <v>1679</v>
      </c>
      <c r="F85" s="51" t="s">
        <v>63</v>
      </c>
      <c r="G85" s="46"/>
    </row>
    <row r="86" spans="1:7" ht="22.5" customHeight="1" x14ac:dyDescent="0.35">
      <c r="A86" s="43">
        <v>83</v>
      </c>
      <c r="B86" s="44" t="s">
        <v>114</v>
      </c>
      <c r="C86" s="44" t="s">
        <v>488</v>
      </c>
      <c r="D86" s="45" t="s">
        <v>63</v>
      </c>
      <c r="E86" s="45" t="s">
        <v>1679</v>
      </c>
      <c r="F86" s="51" t="s">
        <v>63</v>
      </c>
      <c r="G86" s="46"/>
    </row>
    <row r="87" spans="1:7" ht="22.5" customHeight="1" x14ac:dyDescent="0.35">
      <c r="A87" s="43">
        <v>84</v>
      </c>
      <c r="B87" s="44" t="s">
        <v>114</v>
      </c>
      <c r="C87" s="44" t="s">
        <v>478</v>
      </c>
      <c r="D87" s="45" t="s">
        <v>63</v>
      </c>
      <c r="E87" s="45" t="s">
        <v>1679</v>
      </c>
      <c r="F87" s="51" t="s">
        <v>63</v>
      </c>
      <c r="G87" s="46"/>
    </row>
    <row r="88" spans="1:7" ht="22.5" customHeight="1" x14ac:dyDescent="0.35">
      <c r="A88" s="43">
        <v>85</v>
      </c>
      <c r="B88" s="44" t="s">
        <v>114</v>
      </c>
      <c r="C88" s="44" t="s">
        <v>489</v>
      </c>
      <c r="D88" s="45" t="s">
        <v>63</v>
      </c>
      <c r="E88" s="45" t="s">
        <v>1688</v>
      </c>
      <c r="F88" s="51" t="s">
        <v>63</v>
      </c>
      <c r="G88" s="46"/>
    </row>
    <row r="89" spans="1:7" ht="22.5" customHeight="1" x14ac:dyDescent="0.35">
      <c r="A89" s="43">
        <v>86</v>
      </c>
      <c r="B89" s="44" t="s">
        <v>114</v>
      </c>
      <c r="C89" s="44" t="s">
        <v>479</v>
      </c>
      <c r="D89" s="45" t="s">
        <v>63</v>
      </c>
      <c r="E89" s="45" t="s">
        <v>1689</v>
      </c>
      <c r="F89" s="51" t="s">
        <v>63</v>
      </c>
      <c r="G89" s="46"/>
    </row>
    <row r="90" spans="1:7" ht="22.5" customHeight="1" x14ac:dyDescent="0.35">
      <c r="A90" s="43">
        <v>87</v>
      </c>
      <c r="B90" s="44" t="s">
        <v>114</v>
      </c>
      <c r="C90" s="44" t="s">
        <v>480</v>
      </c>
      <c r="D90" s="45" t="s">
        <v>63</v>
      </c>
      <c r="E90" s="45" t="s">
        <v>1688</v>
      </c>
      <c r="F90" s="51" t="s">
        <v>63</v>
      </c>
      <c r="G90" s="46"/>
    </row>
    <row r="91" spans="1:7" ht="22.5" customHeight="1" x14ac:dyDescent="0.35">
      <c r="A91" s="43">
        <v>88</v>
      </c>
      <c r="B91" s="44" t="s">
        <v>114</v>
      </c>
      <c r="C91" s="44" t="s">
        <v>481</v>
      </c>
      <c r="D91" s="45" t="s">
        <v>63</v>
      </c>
      <c r="E91" s="45" t="s">
        <v>1689</v>
      </c>
      <c r="F91" s="51" t="s">
        <v>63</v>
      </c>
      <c r="G91" s="46"/>
    </row>
    <row r="92" spans="1:7" ht="24" customHeight="1" x14ac:dyDescent="0.35">
      <c r="A92" s="43">
        <v>89</v>
      </c>
      <c r="B92" s="44" t="s">
        <v>114</v>
      </c>
      <c r="C92" s="44" t="s">
        <v>482</v>
      </c>
      <c r="D92" s="45" t="s">
        <v>63</v>
      </c>
      <c r="E92" s="45" t="s">
        <v>1689</v>
      </c>
      <c r="F92" s="51" t="s">
        <v>63</v>
      </c>
      <c r="G92" s="46"/>
    </row>
    <row r="93" spans="1:7" ht="24" customHeight="1" x14ac:dyDescent="0.35">
      <c r="A93" s="43">
        <v>90</v>
      </c>
      <c r="B93" s="44" t="s">
        <v>115</v>
      </c>
      <c r="C93" s="44" t="s">
        <v>490</v>
      </c>
      <c r="D93" s="45" t="s">
        <v>63</v>
      </c>
      <c r="E93" s="45" t="s">
        <v>416</v>
      </c>
      <c r="F93" s="51" t="s">
        <v>63</v>
      </c>
      <c r="G93" s="46"/>
    </row>
    <row r="94" spans="1:7" ht="24" customHeight="1" x14ac:dyDescent="0.35">
      <c r="A94" s="43">
        <v>91</v>
      </c>
      <c r="B94" s="44" t="s">
        <v>115</v>
      </c>
      <c r="C94" s="44" t="s">
        <v>474</v>
      </c>
      <c r="D94" s="45" t="s">
        <v>63</v>
      </c>
      <c r="E94" s="45" t="s">
        <v>416</v>
      </c>
      <c r="F94" s="51" t="s">
        <v>63</v>
      </c>
      <c r="G94" s="46"/>
    </row>
    <row r="95" spans="1:7" ht="24" customHeight="1" x14ac:dyDescent="0.35">
      <c r="A95" s="43">
        <v>92</v>
      </c>
      <c r="B95" s="44" t="s">
        <v>115</v>
      </c>
      <c r="C95" s="44" t="s">
        <v>476</v>
      </c>
      <c r="D95" s="45" t="s">
        <v>63</v>
      </c>
      <c r="E95" s="45" t="s">
        <v>416</v>
      </c>
      <c r="F95" s="51" t="s">
        <v>63</v>
      </c>
      <c r="G95" s="46"/>
    </row>
    <row r="96" spans="1:7" ht="24" customHeight="1" x14ac:dyDescent="0.35">
      <c r="A96" s="43">
        <v>93</v>
      </c>
      <c r="B96" s="44" t="s">
        <v>115</v>
      </c>
      <c r="C96" s="44" t="s">
        <v>477</v>
      </c>
      <c r="D96" s="45" t="s">
        <v>63</v>
      </c>
      <c r="E96" s="45" t="s">
        <v>416</v>
      </c>
      <c r="F96" s="51" t="s">
        <v>63</v>
      </c>
      <c r="G96" s="46"/>
    </row>
    <row r="97" spans="1:7" ht="24" customHeight="1" x14ac:dyDescent="0.35">
      <c r="A97" s="43">
        <v>94</v>
      </c>
      <c r="B97" s="44" t="s">
        <v>115</v>
      </c>
      <c r="C97" s="44" t="s">
        <v>478</v>
      </c>
      <c r="D97" s="45" t="s">
        <v>63</v>
      </c>
      <c r="E97" s="45" t="s">
        <v>416</v>
      </c>
      <c r="F97" s="51" t="s">
        <v>63</v>
      </c>
      <c r="G97" s="46"/>
    </row>
    <row r="98" spans="1:7" ht="24" customHeight="1" x14ac:dyDescent="0.35">
      <c r="A98" s="43">
        <v>95</v>
      </c>
      <c r="B98" s="44" t="s">
        <v>115</v>
      </c>
      <c r="C98" s="44" t="s">
        <v>491</v>
      </c>
      <c r="D98" s="45" t="s">
        <v>63</v>
      </c>
      <c r="E98" s="45" t="s">
        <v>416</v>
      </c>
      <c r="F98" s="51" t="s">
        <v>63</v>
      </c>
      <c r="G98" s="46"/>
    </row>
    <row r="99" spans="1:7" ht="24" customHeight="1" x14ac:dyDescent="0.35">
      <c r="A99" s="43">
        <v>96</v>
      </c>
      <c r="B99" s="44" t="s">
        <v>115</v>
      </c>
      <c r="C99" s="44" t="s">
        <v>479</v>
      </c>
      <c r="D99" s="45" t="s">
        <v>63</v>
      </c>
      <c r="E99" s="45" t="s">
        <v>416</v>
      </c>
      <c r="F99" s="51" t="s">
        <v>63</v>
      </c>
      <c r="G99" s="46"/>
    </row>
    <row r="100" spans="1:7" ht="24" customHeight="1" x14ac:dyDescent="0.35">
      <c r="A100" s="43">
        <v>97</v>
      </c>
      <c r="B100" s="44" t="s">
        <v>115</v>
      </c>
      <c r="C100" s="44" t="s">
        <v>480</v>
      </c>
      <c r="D100" s="45" t="s">
        <v>63</v>
      </c>
      <c r="E100" s="45" t="s">
        <v>416</v>
      </c>
      <c r="F100" s="51" t="s">
        <v>63</v>
      </c>
      <c r="G100" s="46"/>
    </row>
    <row r="101" spans="1:7" ht="24" customHeight="1" x14ac:dyDescent="0.35">
      <c r="A101" s="43">
        <v>98</v>
      </c>
      <c r="B101" s="44" t="s">
        <v>115</v>
      </c>
      <c r="C101" s="44" t="s">
        <v>481</v>
      </c>
      <c r="D101" s="45" t="s">
        <v>63</v>
      </c>
      <c r="E101" s="45" t="s">
        <v>416</v>
      </c>
      <c r="F101" s="51" t="s">
        <v>63</v>
      </c>
      <c r="G101" s="46"/>
    </row>
    <row r="102" spans="1:7" ht="24" customHeight="1" x14ac:dyDescent="0.35">
      <c r="A102" s="43">
        <v>99</v>
      </c>
      <c r="B102" s="44" t="s">
        <v>115</v>
      </c>
      <c r="C102" s="44" t="s">
        <v>492</v>
      </c>
      <c r="D102" s="45" t="s">
        <v>63</v>
      </c>
      <c r="E102" s="45" t="s">
        <v>416</v>
      </c>
      <c r="F102" s="51" t="s">
        <v>63</v>
      </c>
      <c r="G102" s="46"/>
    </row>
    <row r="103" spans="1:7" ht="42.75" customHeight="1" x14ac:dyDescent="0.35">
      <c r="A103" s="43">
        <v>100</v>
      </c>
      <c r="B103" s="44" t="s">
        <v>116</v>
      </c>
      <c r="C103" s="44" t="s">
        <v>493</v>
      </c>
      <c r="D103" s="45" t="s">
        <v>63</v>
      </c>
      <c r="E103" s="45" t="s">
        <v>1670</v>
      </c>
      <c r="F103" s="51" t="s">
        <v>63</v>
      </c>
      <c r="G103" s="46"/>
    </row>
    <row r="104" spans="1:7" ht="42.75" customHeight="1" x14ac:dyDescent="0.35">
      <c r="A104" s="43">
        <v>101</v>
      </c>
      <c r="B104" s="44" t="s">
        <v>116</v>
      </c>
      <c r="C104" s="44" t="s">
        <v>494</v>
      </c>
      <c r="D104" s="45" t="s">
        <v>63</v>
      </c>
      <c r="E104" s="45" t="s">
        <v>1690</v>
      </c>
      <c r="F104" s="51" t="s">
        <v>63</v>
      </c>
      <c r="G104" s="46"/>
    </row>
    <row r="105" spans="1:7" ht="42.75" customHeight="1" x14ac:dyDescent="0.35">
      <c r="A105" s="43">
        <v>102</v>
      </c>
      <c r="B105" s="44" t="s">
        <v>116</v>
      </c>
      <c r="C105" s="44" t="s">
        <v>495</v>
      </c>
      <c r="D105" s="45" t="s">
        <v>63</v>
      </c>
      <c r="E105" s="45"/>
      <c r="F105" s="51" t="s">
        <v>63</v>
      </c>
      <c r="G105" s="46"/>
    </row>
    <row r="106" spans="1:7" ht="42.75" customHeight="1" x14ac:dyDescent="0.35">
      <c r="A106" s="43">
        <v>103</v>
      </c>
      <c r="B106" s="44" t="s">
        <v>117</v>
      </c>
      <c r="C106" s="44" t="s">
        <v>496</v>
      </c>
      <c r="D106" s="45" t="s">
        <v>63</v>
      </c>
      <c r="E106" s="54" t="s">
        <v>1691</v>
      </c>
      <c r="F106" s="51" t="s">
        <v>63</v>
      </c>
      <c r="G106" s="46"/>
    </row>
    <row r="107" spans="1:7" ht="42.75" customHeight="1" x14ac:dyDescent="0.35">
      <c r="A107" s="43">
        <v>104</v>
      </c>
      <c r="B107" s="44" t="s">
        <v>117</v>
      </c>
      <c r="C107" s="44" t="s">
        <v>497</v>
      </c>
      <c r="D107" s="45" t="s">
        <v>63</v>
      </c>
      <c r="E107" s="54" t="s">
        <v>1692</v>
      </c>
      <c r="F107" s="51" t="s">
        <v>63</v>
      </c>
      <c r="G107" s="46"/>
    </row>
    <row r="108" spans="1:7" ht="42.75" customHeight="1" x14ac:dyDescent="0.35">
      <c r="A108" s="43">
        <v>105</v>
      </c>
      <c r="B108" s="44" t="s">
        <v>117</v>
      </c>
      <c r="C108" s="44" t="s">
        <v>498</v>
      </c>
      <c r="D108" s="45" t="s">
        <v>63</v>
      </c>
      <c r="E108" s="45" t="s">
        <v>1693</v>
      </c>
      <c r="F108" s="51" t="s">
        <v>63</v>
      </c>
      <c r="G108" s="46"/>
    </row>
    <row r="109" spans="1:7" ht="42.75" customHeight="1" x14ac:dyDescent="0.35">
      <c r="A109" s="43">
        <v>106</v>
      </c>
      <c r="B109" s="44" t="s">
        <v>117</v>
      </c>
      <c r="C109" s="44" t="s">
        <v>499</v>
      </c>
      <c r="D109" s="45" t="s">
        <v>63</v>
      </c>
      <c r="E109" s="45" t="s">
        <v>1694</v>
      </c>
      <c r="F109" s="51" t="s">
        <v>63</v>
      </c>
      <c r="G109" s="46"/>
    </row>
    <row r="110" spans="1:7" ht="42.75" customHeight="1" x14ac:dyDescent="0.35">
      <c r="A110" s="43">
        <v>107</v>
      </c>
      <c r="B110" s="44" t="s">
        <v>117</v>
      </c>
      <c r="C110" s="44" t="s">
        <v>500</v>
      </c>
      <c r="D110" s="45" t="s">
        <v>63</v>
      </c>
      <c r="E110" s="54" t="s">
        <v>1695</v>
      </c>
      <c r="F110" s="51" t="s">
        <v>63</v>
      </c>
      <c r="G110" s="46"/>
    </row>
    <row r="111" spans="1:7" ht="24" customHeight="1" x14ac:dyDescent="0.35">
      <c r="A111" s="43">
        <v>108</v>
      </c>
      <c r="B111" s="44" t="s">
        <v>118</v>
      </c>
      <c r="C111" s="44" t="s">
        <v>501</v>
      </c>
      <c r="D111" s="45" t="s">
        <v>63</v>
      </c>
      <c r="E111" s="45" t="s">
        <v>1696</v>
      </c>
      <c r="F111" s="51" t="s">
        <v>63</v>
      </c>
      <c r="G111" s="46"/>
    </row>
    <row r="112" spans="1:7" ht="24" customHeight="1" x14ac:dyDescent="0.35">
      <c r="A112" s="43">
        <v>109</v>
      </c>
      <c r="B112" s="44" t="s">
        <v>118</v>
      </c>
      <c r="C112" s="44" t="s">
        <v>502</v>
      </c>
      <c r="D112" s="45" t="s">
        <v>63</v>
      </c>
      <c r="E112" s="45" t="s">
        <v>1697</v>
      </c>
      <c r="F112" s="51" t="s">
        <v>63</v>
      </c>
      <c r="G112" s="46"/>
    </row>
    <row r="113" spans="1:7" ht="24" customHeight="1" x14ac:dyDescent="0.35">
      <c r="A113" s="43">
        <v>110</v>
      </c>
      <c r="B113" s="44" t="s">
        <v>118</v>
      </c>
      <c r="C113" s="44" t="s">
        <v>503</v>
      </c>
      <c r="D113" s="45" t="s">
        <v>63</v>
      </c>
      <c r="E113" s="45" t="s">
        <v>1698</v>
      </c>
      <c r="F113" s="51" t="s">
        <v>63</v>
      </c>
      <c r="G113" s="46"/>
    </row>
    <row r="114" spans="1:7" ht="24" customHeight="1" x14ac:dyDescent="0.35">
      <c r="A114" s="43">
        <v>111</v>
      </c>
      <c r="B114" s="44" t="s">
        <v>118</v>
      </c>
      <c r="C114" s="44" t="s">
        <v>504</v>
      </c>
      <c r="D114" s="45" t="s">
        <v>63</v>
      </c>
      <c r="E114" s="45" t="s">
        <v>1699</v>
      </c>
      <c r="F114" s="51" t="s">
        <v>63</v>
      </c>
      <c r="G114" s="46"/>
    </row>
    <row r="115" spans="1:7" ht="24" customHeight="1" x14ac:dyDescent="0.35">
      <c r="A115" s="43">
        <v>112</v>
      </c>
      <c r="B115" s="44" t="s">
        <v>118</v>
      </c>
      <c r="C115" s="44" t="s">
        <v>505</v>
      </c>
      <c r="D115" s="45" t="s">
        <v>63</v>
      </c>
      <c r="E115" s="45" t="s">
        <v>1700</v>
      </c>
      <c r="F115" s="51" t="s">
        <v>63</v>
      </c>
      <c r="G115" s="46"/>
    </row>
    <row r="116" spans="1:7" ht="24" customHeight="1" x14ac:dyDescent="0.35">
      <c r="A116" s="43">
        <v>113</v>
      </c>
      <c r="B116" s="44" t="s">
        <v>118</v>
      </c>
      <c r="C116" s="44" t="s">
        <v>506</v>
      </c>
      <c r="D116" s="45" t="s">
        <v>63</v>
      </c>
      <c r="E116" s="45" t="s">
        <v>1701</v>
      </c>
      <c r="F116" s="51" t="s">
        <v>63</v>
      </c>
      <c r="G116" s="46"/>
    </row>
    <row r="117" spans="1:7" ht="24" customHeight="1" x14ac:dyDescent="0.35">
      <c r="A117" s="43">
        <v>114</v>
      </c>
      <c r="B117" s="44" t="s">
        <v>118</v>
      </c>
      <c r="C117" s="44" t="s">
        <v>507</v>
      </c>
      <c r="D117" s="45" t="s">
        <v>63</v>
      </c>
      <c r="E117" s="45" t="s">
        <v>1702</v>
      </c>
      <c r="F117" s="51" t="s">
        <v>63</v>
      </c>
      <c r="G117" s="46"/>
    </row>
    <row r="118" spans="1:7" ht="24" customHeight="1" x14ac:dyDescent="0.35">
      <c r="A118" s="43">
        <v>115</v>
      </c>
      <c r="B118" s="44" t="s">
        <v>118</v>
      </c>
      <c r="C118" s="44" t="s">
        <v>508</v>
      </c>
      <c r="D118" s="45" t="s">
        <v>63</v>
      </c>
      <c r="E118" s="45" t="s">
        <v>1696</v>
      </c>
      <c r="F118" s="51" t="s">
        <v>63</v>
      </c>
      <c r="G118" s="46"/>
    </row>
    <row r="119" spans="1:7" ht="24" customHeight="1" x14ac:dyDescent="0.35">
      <c r="A119" s="43">
        <v>116</v>
      </c>
      <c r="B119" s="44" t="s">
        <v>118</v>
      </c>
      <c r="C119" s="44" t="s">
        <v>509</v>
      </c>
      <c r="D119" s="45" t="s">
        <v>63</v>
      </c>
      <c r="E119" s="45" t="s">
        <v>1697</v>
      </c>
      <c r="F119" s="51" t="s">
        <v>63</v>
      </c>
      <c r="G119" s="46"/>
    </row>
    <row r="120" spans="1:7" ht="24" customHeight="1" x14ac:dyDescent="0.35">
      <c r="A120" s="43">
        <v>117</v>
      </c>
      <c r="B120" s="44" t="s">
        <v>118</v>
      </c>
      <c r="C120" s="44" t="s">
        <v>510</v>
      </c>
      <c r="D120" s="45" t="s">
        <v>63</v>
      </c>
      <c r="E120" s="45" t="s">
        <v>1698</v>
      </c>
      <c r="F120" s="51" t="s">
        <v>63</v>
      </c>
      <c r="G120" s="46"/>
    </row>
    <row r="121" spans="1:7" ht="24" customHeight="1" x14ac:dyDescent="0.35">
      <c r="A121" s="43">
        <v>118</v>
      </c>
      <c r="B121" s="44" t="s">
        <v>118</v>
      </c>
      <c r="C121" s="44" t="s">
        <v>511</v>
      </c>
      <c r="D121" s="45" t="s">
        <v>63</v>
      </c>
      <c r="E121" s="45" t="s">
        <v>1699</v>
      </c>
      <c r="F121" s="51" t="s">
        <v>63</v>
      </c>
      <c r="G121" s="46"/>
    </row>
    <row r="122" spans="1:7" ht="24" customHeight="1" x14ac:dyDescent="0.35">
      <c r="A122" s="43">
        <v>119</v>
      </c>
      <c r="B122" s="44" t="s">
        <v>118</v>
      </c>
      <c r="C122" s="44" t="s">
        <v>512</v>
      </c>
      <c r="D122" s="45" t="s">
        <v>63</v>
      </c>
      <c r="E122" s="45" t="s">
        <v>1700</v>
      </c>
      <c r="F122" s="51" t="s">
        <v>63</v>
      </c>
      <c r="G122" s="46"/>
    </row>
    <row r="123" spans="1:7" ht="24" customHeight="1" x14ac:dyDescent="0.35">
      <c r="A123" s="43">
        <v>120</v>
      </c>
      <c r="B123" s="44" t="s">
        <v>118</v>
      </c>
      <c r="C123" s="44" t="s">
        <v>513</v>
      </c>
      <c r="D123" s="45" t="s">
        <v>63</v>
      </c>
      <c r="E123" s="45" t="s">
        <v>1701</v>
      </c>
      <c r="F123" s="51" t="s">
        <v>63</v>
      </c>
      <c r="G123" s="46"/>
    </row>
    <row r="124" spans="1:7" ht="24" customHeight="1" x14ac:dyDescent="0.35">
      <c r="A124" s="43">
        <v>121</v>
      </c>
      <c r="B124" s="44" t="s">
        <v>118</v>
      </c>
      <c r="C124" s="44" t="s">
        <v>514</v>
      </c>
      <c r="D124" s="45" t="s">
        <v>63</v>
      </c>
      <c r="E124" s="45" t="s">
        <v>1702</v>
      </c>
      <c r="F124" s="51" t="s">
        <v>63</v>
      </c>
      <c r="G124" s="46"/>
    </row>
    <row r="125" spans="1:7" ht="32.25" customHeight="1" x14ac:dyDescent="0.35">
      <c r="A125" s="43">
        <v>122</v>
      </c>
      <c r="B125" s="44" t="s">
        <v>118</v>
      </c>
      <c r="C125" s="44" t="s">
        <v>515</v>
      </c>
      <c r="D125" s="45" t="s">
        <v>63</v>
      </c>
      <c r="E125" s="45" t="s">
        <v>1696</v>
      </c>
      <c r="F125" s="51" t="s">
        <v>63</v>
      </c>
      <c r="G125" s="46"/>
    </row>
    <row r="126" spans="1:7" ht="24" customHeight="1" x14ac:dyDescent="0.35">
      <c r="A126" s="43">
        <v>123</v>
      </c>
      <c r="B126" s="44" t="s">
        <v>118</v>
      </c>
      <c r="C126" s="44" t="s">
        <v>516</v>
      </c>
      <c r="D126" s="45" t="s">
        <v>63</v>
      </c>
      <c r="E126" s="45" t="s">
        <v>1703</v>
      </c>
      <c r="F126" s="51" t="s">
        <v>63</v>
      </c>
      <c r="G126" s="46"/>
    </row>
    <row r="127" spans="1:7" ht="24" customHeight="1" x14ac:dyDescent="0.35">
      <c r="A127" s="43">
        <v>124</v>
      </c>
      <c r="B127" s="44" t="s">
        <v>119</v>
      </c>
      <c r="C127" s="44" t="s">
        <v>517</v>
      </c>
      <c r="D127" s="45" t="s">
        <v>63</v>
      </c>
      <c r="E127" s="45" t="s">
        <v>1704</v>
      </c>
      <c r="F127" s="51" t="s">
        <v>63</v>
      </c>
      <c r="G127" s="46"/>
    </row>
    <row r="128" spans="1:7" ht="24" customHeight="1" x14ac:dyDescent="0.35">
      <c r="A128" s="43">
        <v>125</v>
      </c>
      <c r="B128" s="44" t="s">
        <v>119</v>
      </c>
      <c r="C128" s="44" t="s">
        <v>518</v>
      </c>
      <c r="D128" s="45" t="s">
        <v>63</v>
      </c>
      <c r="E128" s="45" t="s">
        <v>1705</v>
      </c>
      <c r="F128" s="51" t="s">
        <v>63</v>
      </c>
      <c r="G128" s="46"/>
    </row>
    <row r="129" spans="1:7" ht="24" customHeight="1" x14ac:dyDescent="0.35">
      <c r="A129" s="43">
        <v>126</v>
      </c>
      <c r="B129" s="44" t="s">
        <v>119</v>
      </c>
      <c r="C129" s="44" t="s">
        <v>519</v>
      </c>
      <c r="D129" s="45" t="s">
        <v>63</v>
      </c>
      <c r="E129" s="45" t="s">
        <v>1706</v>
      </c>
      <c r="F129" s="51" t="s">
        <v>63</v>
      </c>
      <c r="G129" s="46"/>
    </row>
    <row r="130" spans="1:7" ht="24" customHeight="1" x14ac:dyDescent="0.35">
      <c r="A130" s="43">
        <v>127</v>
      </c>
      <c r="B130" s="44" t="s">
        <v>119</v>
      </c>
      <c r="C130" s="44" t="s">
        <v>520</v>
      </c>
      <c r="D130" s="45" t="s">
        <v>63</v>
      </c>
      <c r="E130" s="45" t="s">
        <v>1707</v>
      </c>
      <c r="F130" s="51" t="s">
        <v>63</v>
      </c>
      <c r="G130" s="46"/>
    </row>
    <row r="131" spans="1:7" ht="24" customHeight="1" x14ac:dyDescent="0.35">
      <c r="A131" s="43">
        <v>128</v>
      </c>
      <c r="B131" s="44" t="s">
        <v>119</v>
      </c>
      <c r="C131" s="44" t="s">
        <v>521</v>
      </c>
      <c r="D131" s="45" t="s">
        <v>63</v>
      </c>
      <c r="E131" s="45" t="s">
        <v>1708</v>
      </c>
      <c r="F131" s="51" t="s">
        <v>63</v>
      </c>
      <c r="G131" s="46"/>
    </row>
    <row r="132" spans="1:7" ht="24" customHeight="1" x14ac:dyDescent="0.35">
      <c r="A132" s="43">
        <v>129</v>
      </c>
      <c r="B132" s="44" t="s">
        <v>119</v>
      </c>
      <c r="C132" s="44" t="s">
        <v>522</v>
      </c>
      <c r="D132" s="45" t="s">
        <v>63</v>
      </c>
      <c r="E132" s="45" t="s">
        <v>1709</v>
      </c>
      <c r="F132" s="51" t="s">
        <v>63</v>
      </c>
      <c r="G132" s="46"/>
    </row>
    <row r="133" spans="1:7" ht="24" customHeight="1" x14ac:dyDescent="0.35">
      <c r="A133" s="43">
        <v>130</v>
      </c>
      <c r="B133" s="44" t="s">
        <v>119</v>
      </c>
      <c r="C133" s="44" t="s">
        <v>523</v>
      </c>
      <c r="D133" s="45" t="s">
        <v>63</v>
      </c>
      <c r="E133" s="45" t="s">
        <v>1710</v>
      </c>
      <c r="F133" s="51" t="s">
        <v>63</v>
      </c>
      <c r="G133" s="46"/>
    </row>
    <row r="134" spans="1:7" ht="24" customHeight="1" x14ac:dyDescent="0.35">
      <c r="A134" s="43">
        <v>131</v>
      </c>
      <c r="B134" s="44" t="s">
        <v>119</v>
      </c>
      <c r="C134" s="44" t="s">
        <v>524</v>
      </c>
      <c r="D134" s="45" t="s">
        <v>63</v>
      </c>
      <c r="E134" s="45" t="s">
        <v>1711</v>
      </c>
      <c r="F134" s="51" t="s">
        <v>63</v>
      </c>
      <c r="G134" s="46"/>
    </row>
    <row r="135" spans="1:7" ht="24" customHeight="1" x14ac:dyDescent="0.35">
      <c r="A135" s="43">
        <v>132</v>
      </c>
      <c r="B135" s="44" t="s">
        <v>119</v>
      </c>
      <c r="C135" s="44" t="s">
        <v>525</v>
      </c>
      <c r="D135" s="45" t="s">
        <v>63</v>
      </c>
      <c r="E135" s="45" t="s">
        <v>1712</v>
      </c>
      <c r="F135" s="51" t="s">
        <v>63</v>
      </c>
      <c r="G135" s="46"/>
    </row>
    <row r="136" spans="1:7" ht="24" customHeight="1" x14ac:dyDescent="0.35">
      <c r="A136" s="43">
        <v>133</v>
      </c>
      <c r="B136" s="44" t="s">
        <v>119</v>
      </c>
      <c r="C136" s="44" t="s">
        <v>526</v>
      </c>
      <c r="D136" s="45" t="s">
        <v>63</v>
      </c>
      <c r="E136" s="45" t="s">
        <v>1713</v>
      </c>
      <c r="F136" s="51" t="s">
        <v>63</v>
      </c>
      <c r="G136" s="46"/>
    </row>
    <row r="137" spans="1:7" ht="24" customHeight="1" x14ac:dyDescent="0.35">
      <c r="A137" s="43">
        <v>134</v>
      </c>
      <c r="B137" s="44" t="s">
        <v>119</v>
      </c>
      <c r="C137" s="44" t="s">
        <v>527</v>
      </c>
      <c r="D137" s="45" t="s">
        <v>63</v>
      </c>
      <c r="E137" s="45" t="s">
        <v>1714</v>
      </c>
      <c r="F137" s="51" t="s">
        <v>63</v>
      </c>
      <c r="G137" s="46"/>
    </row>
    <row r="138" spans="1:7" ht="24" customHeight="1" x14ac:dyDescent="0.35">
      <c r="A138" s="43">
        <v>135</v>
      </c>
      <c r="B138" s="44" t="s">
        <v>119</v>
      </c>
      <c r="C138" s="44" t="s">
        <v>528</v>
      </c>
      <c r="D138" s="45" t="s">
        <v>63</v>
      </c>
      <c r="E138" s="45" t="s">
        <v>1715</v>
      </c>
      <c r="F138" s="51" t="s">
        <v>63</v>
      </c>
      <c r="G138" s="46"/>
    </row>
    <row r="139" spans="1:7" ht="24" customHeight="1" x14ac:dyDescent="0.35">
      <c r="A139" s="43">
        <v>136</v>
      </c>
      <c r="B139" s="44" t="s">
        <v>119</v>
      </c>
      <c r="C139" s="44" t="s">
        <v>529</v>
      </c>
      <c r="D139" s="45" t="s">
        <v>63</v>
      </c>
      <c r="E139" s="45" t="s">
        <v>1716</v>
      </c>
      <c r="F139" s="51" t="s">
        <v>63</v>
      </c>
      <c r="G139" s="46"/>
    </row>
    <row r="140" spans="1:7" ht="24" customHeight="1" x14ac:dyDescent="0.35">
      <c r="A140" s="43">
        <v>137</v>
      </c>
      <c r="B140" s="44" t="s">
        <v>119</v>
      </c>
      <c r="C140" s="44" t="s">
        <v>530</v>
      </c>
      <c r="D140" s="45" t="s">
        <v>63</v>
      </c>
      <c r="E140" s="45" t="s">
        <v>1717</v>
      </c>
      <c r="F140" s="51" t="s">
        <v>63</v>
      </c>
      <c r="G140" s="46"/>
    </row>
    <row r="141" spans="1:7" ht="24" customHeight="1" x14ac:dyDescent="0.35">
      <c r="A141" s="43">
        <v>138</v>
      </c>
      <c r="B141" s="44" t="s">
        <v>120</v>
      </c>
      <c r="C141" s="44" t="s">
        <v>531</v>
      </c>
      <c r="D141" s="45" t="s">
        <v>63</v>
      </c>
      <c r="E141" s="45" t="s">
        <v>1718</v>
      </c>
      <c r="F141" s="51" t="s">
        <v>63</v>
      </c>
      <c r="G141" s="46"/>
    </row>
    <row r="142" spans="1:7" ht="24" customHeight="1" x14ac:dyDescent="0.35">
      <c r="A142" s="43">
        <v>139</v>
      </c>
      <c r="B142" s="44" t="s">
        <v>119</v>
      </c>
      <c r="C142" s="44" t="s">
        <v>532</v>
      </c>
      <c r="D142" s="45" t="s">
        <v>63</v>
      </c>
      <c r="E142" s="45" t="s">
        <v>1716</v>
      </c>
      <c r="F142" s="51" t="s">
        <v>63</v>
      </c>
      <c r="G142" s="46"/>
    </row>
    <row r="146" spans="1:1" x14ac:dyDescent="0.35">
      <c r="A146" t="s">
        <v>288</v>
      </c>
    </row>
  </sheetData>
  <protectedRanges>
    <protectedRange sqref="F4:F142" name="Range1"/>
    <protectedRange sqref="E4:E142" name="Range1_1"/>
  </protectedRanges>
  <autoFilter ref="A3:F142" xr:uid="{00000000-0009-0000-0000-000004000000}"/>
  <conditionalFormatting sqref="D4:D143">
    <cfRule type="cellIs" dxfId="35" priority="2" operator="equal">
      <formula>"Submitted"</formula>
    </cfRule>
    <cfRule type="cellIs" dxfId="34" priority="3" operator="equal">
      <formula>"Awaited"</formula>
    </cfRule>
    <cfRule type="cellIs" dxfId="33" priority="4" operator="equal">
      <formula>"Not Applicable"</formula>
    </cfRule>
  </conditionalFormatting>
  <dataValidations count="2">
    <dataValidation type="list" allowBlank="1" showInputMessage="1" showErrorMessage="1" errorTitle="Invalid entry" error="Allowed: Submitted, Awaited, Not Applicable, Required during First Time Energization (FTE) stage only" promptTitle="Valid options" prompt="Submission status of this TD document" sqref="D143" xr:uid="{00000000-0002-0000-0400-000000000000}">
      <formula1>"Submitted,Awaited,Not Applicable,Required during First Time Energization (FTE) stage only"</formula1>
      <formula2>0</formula2>
    </dataValidation>
    <dataValidation type="list" allowBlank="1" showInputMessage="1" showErrorMessage="1" errorTitle="Invalid entry" error="Allowed: Submitted, Awaited, Not Applicable, Required during First Time Energization (FTE) stage only" promptTitle="Valid options" prompt="Submission status of this TD document" sqref="D4:D142" xr:uid="{0609E90E-3C2F-4ECC-A75E-68B2C20C03B7}">
      <formula1>"Submitted,Awaited,Not Applicable"</formula1>
    </dataValidation>
  </dataValidations>
  <pageMargins left="0.75" right="0.75" top="1" bottom="1" header="0.511811023622047" footer="0.511811023622047"/>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K24"/>
  <sheetViews>
    <sheetView showGridLines="0" view="pageBreakPreview" zoomScaleNormal="115" zoomScaleSheetLayoutView="100" workbookViewId="0">
      <pane xSplit="6" ySplit="3" topLeftCell="G22" activePane="bottomRight" state="frozen"/>
      <selection pane="topRight" activeCell="F1" sqref="F1"/>
      <selection pane="bottomLeft" activeCell="A4" sqref="A4"/>
      <selection pane="bottomRight" activeCell="H23" sqref="H23"/>
    </sheetView>
  </sheetViews>
  <sheetFormatPr defaultColWidth="8.6328125" defaultRowHeight="14.5" x14ac:dyDescent="0.35"/>
  <cols>
    <col min="1" max="2" width="10" customWidth="1"/>
    <col min="3" max="4" width="45" customWidth="1"/>
    <col min="5" max="5" width="10" customWidth="1"/>
    <col min="6" max="6" width="16" customWidth="1"/>
    <col min="7" max="7" width="10" customWidth="1"/>
    <col min="8" max="8" width="80.1796875" bestFit="1" customWidth="1"/>
    <col min="9" max="9" width="15" customWidth="1"/>
    <col min="10" max="10" width="40" customWidth="1"/>
    <col min="11" max="11" width="60" customWidth="1"/>
  </cols>
  <sheetData>
    <row r="1" spans="1:11" ht="18.75" customHeight="1" x14ac:dyDescent="0.45">
      <c r="A1" s="52" t="s">
        <v>533</v>
      </c>
    </row>
    <row r="2" spans="1:11" x14ac:dyDescent="0.35">
      <c r="A2" s="41"/>
    </row>
    <row r="3" spans="1:11" ht="40.5" customHeight="1" x14ac:dyDescent="0.35">
      <c r="A3" s="9" t="s">
        <v>291</v>
      </c>
      <c r="B3" s="9" t="s">
        <v>105</v>
      </c>
      <c r="C3" s="9" t="s">
        <v>292</v>
      </c>
      <c r="D3" s="9" t="s">
        <v>534</v>
      </c>
      <c r="E3" s="9" t="s">
        <v>208</v>
      </c>
      <c r="F3" s="9" t="s">
        <v>123</v>
      </c>
      <c r="G3" s="9" t="s">
        <v>124</v>
      </c>
      <c r="H3" s="9" t="s">
        <v>535</v>
      </c>
      <c r="I3" s="9" t="s">
        <v>536</v>
      </c>
      <c r="J3" s="9" t="s">
        <v>68</v>
      </c>
      <c r="K3" s="61" t="s">
        <v>212</v>
      </c>
    </row>
    <row r="4" spans="1:11" ht="39" customHeight="1" x14ac:dyDescent="0.35">
      <c r="A4" s="43">
        <v>1</v>
      </c>
      <c r="B4" s="44" t="s">
        <v>213</v>
      </c>
      <c r="C4" s="44" t="s">
        <v>537</v>
      </c>
      <c r="D4" s="44" t="s">
        <v>538</v>
      </c>
      <c r="E4" s="43" t="s">
        <v>307</v>
      </c>
      <c r="F4" s="53">
        <v>16893.53</v>
      </c>
      <c r="G4" s="43" t="s">
        <v>416</v>
      </c>
      <c r="H4" s="54" t="s">
        <v>1719</v>
      </c>
      <c r="I4" s="53">
        <v>1</v>
      </c>
      <c r="J4" s="55" t="s">
        <v>539</v>
      </c>
      <c r="K4" s="46" t="s">
        <v>540</v>
      </c>
    </row>
    <row r="5" spans="1:11" ht="43.5" customHeight="1" x14ac:dyDescent="0.35">
      <c r="A5" s="43">
        <v>2</v>
      </c>
      <c r="B5" s="44" t="s">
        <v>213</v>
      </c>
      <c r="C5" s="44" t="s">
        <v>541</v>
      </c>
      <c r="D5" s="44" t="s">
        <v>542</v>
      </c>
      <c r="E5" s="43" t="s">
        <v>543</v>
      </c>
      <c r="F5" s="53">
        <v>2.8650000000000002</v>
      </c>
      <c r="G5" s="43" t="s">
        <v>416</v>
      </c>
      <c r="H5" s="54" t="s">
        <v>1719</v>
      </c>
      <c r="I5" s="53">
        <v>1</v>
      </c>
      <c r="J5" s="55" t="s">
        <v>539</v>
      </c>
      <c r="K5" s="46" t="s">
        <v>544</v>
      </c>
    </row>
    <row r="6" spans="1:11" ht="39.5" customHeight="1" x14ac:dyDescent="0.35">
      <c r="A6" s="43">
        <v>3</v>
      </c>
      <c r="B6" s="44" t="s">
        <v>127</v>
      </c>
      <c r="C6" s="44" t="s">
        <v>545</v>
      </c>
      <c r="D6" s="44"/>
      <c r="E6" s="43" t="s">
        <v>415</v>
      </c>
      <c r="F6" s="53" t="s">
        <v>277</v>
      </c>
      <c r="G6" s="43" t="s">
        <v>416</v>
      </c>
      <c r="H6" s="54" t="s">
        <v>1720</v>
      </c>
      <c r="I6" s="53" t="s">
        <v>546</v>
      </c>
      <c r="J6" s="55" t="s">
        <v>547</v>
      </c>
      <c r="K6" s="46" t="s">
        <v>548</v>
      </c>
    </row>
    <row r="7" spans="1:11" ht="41" customHeight="1" x14ac:dyDescent="0.35">
      <c r="A7" s="43">
        <v>4</v>
      </c>
      <c r="B7" s="44" t="s">
        <v>127</v>
      </c>
      <c r="C7" s="44" t="s">
        <v>549</v>
      </c>
      <c r="D7" s="44"/>
      <c r="E7" s="43" t="s">
        <v>415</v>
      </c>
      <c r="F7" s="53" t="s">
        <v>277</v>
      </c>
      <c r="G7" s="43" t="s">
        <v>416</v>
      </c>
      <c r="H7" s="54" t="s">
        <v>1720</v>
      </c>
      <c r="I7" s="53">
        <v>20</v>
      </c>
      <c r="J7" s="55" t="s">
        <v>552</v>
      </c>
      <c r="K7" s="46" t="s">
        <v>553</v>
      </c>
    </row>
    <row r="8" spans="1:11" ht="42" customHeight="1" x14ac:dyDescent="0.35">
      <c r="A8" s="43">
        <v>5</v>
      </c>
      <c r="B8" s="44" t="s">
        <v>127</v>
      </c>
      <c r="C8" s="44" t="s">
        <v>554</v>
      </c>
      <c r="D8" s="44"/>
      <c r="E8" s="43" t="s">
        <v>415</v>
      </c>
      <c r="F8" s="53" t="s">
        <v>277</v>
      </c>
      <c r="G8" s="43" t="s">
        <v>416</v>
      </c>
      <c r="H8" s="54" t="s">
        <v>555</v>
      </c>
      <c r="I8" s="53" t="s">
        <v>556</v>
      </c>
      <c r="J8" s="55" t="s">
        <v>557</v>
      </c>
      <c r="K8" s="46" t="s">
        <v>558</v>
      </c>
    </row>
    <row r="9" spans="1:11" ht="48.75" customHeight="1" x14ac:dyDescent="0.35">
      <c r="A9" s="43">
        <v>6</v>
      </c>
      <c r="B9" s="44" t="s">
        <v>127</v>
      </c>
      <c r="C9" s="44" t="s">
        <v>559</v>
      </c>
      <c r="D9" s="44" t="s">
        <v>560</v>
      </c>
      <c r="E9" s="43" t="s">
        <v>300</v>
      </c>
      <c r="F9" s="53">
        <v>1.179</v>
      </c>
      <c r="G9" s="76">
        <v>1.4999999999999999E-2</v>
      </c>
      <c r="H9" s="54" t="s">
        <v>1720</v>
      </c>
      <c r="I9" s="53">
        <v>29</v>
      </c>
      <c r="J9" s="55" t="s">
        <v>562</v>
      </c>
      <c r="K9" s="46" t="s">
        <v>563</v>
      </c>
    </row>
    <row r="10" spans="1:11" ht="36.75" customHeight="1" x14ac:dyDescent="0.35">
      <c r="A10" s="43">
        <v>7</v>
      </c>
      <c r="B10" s="44" t="s">
        <v>127</v>
      </c>
      <c r="C10" s="44" t="s">
        <v>564</v>
      </c>
      <c r="D10" s="44" t="s">
        <v>565</v>
      </c>
      <c r="E10" s="43" t="s">
        <v>300</v>
      </c>
      <c r="F10" s="131">
        <v>3.9449999999999997E-3</v>
      </c>
      <c r="G10" s="76">
        <v>5.0000000000000001E-3</v>
      </c>
      <c r="H10" s="54" t="s">
        <v>1720</v>
      </c>
      <c r="I10" s="53">
        <v>32</v>
      </c>
      <c r="J10" s="55" t="s">
        <v>566</v>
      </c>
      <c r="K10" s="46" t="s">
        <v>567</v>
      </c>
    </row>
    <row r="11" spans="1:11" ht="37.25" customHeight="1" x14ac:dyDescent="0.35">
      <c r="A11" s="43">
        <v>8</v>
      </c>
      <c r="B11" s="44" t="s">
        <v>127</v>
      </c>
      <c r="C11" s="44" t="s">
        <v>568</v>
      </c>
      <c r="D11" s="44" t="s">
        <v>569</v>
      </c>
      <c r="E11" s="43" t="s">
        <v>300</v>
      </c>
      <c r="F11" s="131">
        <v>9.4310000000000001E-3</v>
      </c>
      <c r="G11" s="76">
        <v>0.01</v>
      </c>
      <c r="H11" s="54" t="s">
        <v>1720</v>
      </c>
      <c r="I11" s="53">
        <v>32</v>
      </c>
      <c r="J11" s="55" t="s">
        <v>570</v>
      </c>
      <c r="K11" s="46" t="s">
        <v>571</v>
      </c>
    </row>
    <row r="12" spans="1:11" ht="34.5" customHeight="1" x14ac:dyDescent="0.35">
      <c r="A12" s="43">
        <v>9</v>
      </c>
      <c r="B12" s="44" t="s">
        <v>127</v>
      </c>
      <c r="C12" s="44" t="s">
        <v>572</v>
      </c>
      <c r="D12" s="44" t="s">
        <v>573</v>
      </c>
      <c r="E12" s="43" t="s">
        <v>300</v>
      </c>
      <c r="F12" s="131">
        <v>7.3499999999999998E-4</v>
      </c>
      <c r="G12" s="76">
        <v>5.0000000000000001E-3</v>
      </c>
      <c r="H12" s="54" t="s">
        <v>1720</v>
      </c>
      <c r="I12" s="53">
        <v>32</v>
      </c>
      <c r="J12" s="55" t="s">
        <v>566</v>
      </c>
      <c r="K12" s="46" t="s">
        <v>574</v>
      </c>
    </row>
    <row r="13" spans="1:11" ht="28.5" customHeight="1" x14ac:dyDescent="0.35">
      <c r="A13" s="43">
        <v>10</v>
      </c>
      <c r="B13" s="44" t="s">
        <v>127</v>
      </c>
      <c r="C13" s="44" t="s">
        <v>575</v>
      </c>
      <c r="D13" s="44" t="s">
        <v>576</v>
      </c>
      <c r="E13" s="43" t="s">
        <v>300</v>
      </c>
      <c r="F13" s="131">
        <v>2.6900000000000001E-3</v>
      </c>
      <c r="G13" s="76">
        <v>3.8E-3</v>
      </c>
      <c r="H13" s="54" t="s">
        <v>1720</v>
      </c>
      <c r="I13" s="53">
        <v>32</v>
      </c>
      <c r="J13" s="55" t="s">
        <v>577</v>
      </c>
      <c r="K13" s="46" t="s">
        <v>578</v>
      </c>
    </row>
    <row r="14" spans="1:11" ht="35.75" customHeight="1" x14ac:dyDescent="0.35">
      <c r="A14" s="43">
        <v>11</v>
      </c>
      <c r="B14" s="44" t="s">
        <v>127</v>
      </c>
      <c r="C14" s="44" t="s">
        <v>579</v>
      </c>
      <c r="D14" s="44" t="s">
        <v>580</v>
      </c>
      <c r="E14" s="43" t="s">
        <v>300</v>
      </c>
      <c r="F14" s="131">
        <v>8.5099999999999998E-4</v>
      </c>
      <c r="G14" s="76">
        <v>1.5E-3</v>
      </c>
      <c r="H14" s="54" t="s">
        <v>1720</v>
      </c>
      <c r="I14" s="53">
        <v>32</v>
      </c>
      <c r="J14" s="55" t="s">
        <v>581</v>
      </c>
      <c r="K14" s="46" t="s">
        <v>582</v>
      </c>
    </row>
    <row r="15" spans="1:11" ht="30.75" customHeight="1" x14ac:dyDescent="0.35">
      <c r="A15" s="43">
        <v>12</v>
      </c>
      <c r="B15" s="44" t="s">
        <v>127</v>
      </c>
      <c r="C15" s="44" t="s">
        <v>583</v>
      </c>
      <c r="D15" s="44" t="s">
        <v>584</v>
      </c>
      <c r="E15" s="43" t="s">
        <v>300</v>
      </c>
      <c r="F15" s="131">
        <v>9.9199999999999999E-5</v>
      </c>
      <c r="G15" s="76">
        <v>1E-3</v>
      </c>
      <c r="H15" s="54" t="s">
        <v>1720</v>
      </c>
      <c r="I15" s="53">
        <v>32</v>
      </c>
      <c r="J15" s="55" t="s">
        <v>585</v>
      </c>
      <c r="K15" s="46" t="s">
        <v>586</v>
      </c>
    </row>
    <row r="16" spans="1:11" ht="41.25" customHeight="1" x14ac:dyDescent="0.35">
      <c r="A16" s="43">
        <v>13</v>
      </c>
      <c r="B16" s="44" t="s">
        <v>134</v>
      </c>
      <c r="C16" s="44" t="s">
        <v>587</v>
      </c>
      <c r="D16" s="44" t="s">
        <v>588</v>
      </c>
      <c r="E16" s="43" t="s">
        <v>300</v>
      </c>
      <c r="F16" s="131">
        <v>2.4000000000000001E-4</v>
      </c>
      <c r="G16" s="76">
        <v>5.0000000000000001E-3</v>
      </c>
      <c r="H16" s="54" t="s">
        <v>1720</v>
      </c>
      <c r="I16" s="53">
        <v>9</v>
      </c>
      <c r="J16" s="55" t="s">
        <v>566</v>
      </c>
      <c r="K16" s="46" t="s">
        <v>590</v>
      </c>
    </row>
    <row r="17" spans="1:11" ht="37.25" customHeight="1" x14ac:dyDescent="0.35">
      <c r="A17" s="43">
        <v>14</v>
      </c>
      <c r="B17" s="44" t="s">
        <v>136</v>
      </c>
      <c r="C17" s="44" t="s">
        <v>591</v>
      </c>
      <c r="D17" s="44" t="s">
        <v>592</v>
      </c>
      <c r="E17" s="43" t="s">
        <v>416</v>
      </c>
      <c r="F17" s="53">
        <v>1E-3</v>
      </c>
      <c r="G17" s="76">
        <v>0.01</v>
      </c>
      <c r="H17" s="54" t="s">
        <v>1720</v>
      </c>
      <c r="I17" s="53">
        <v>11</v>
      </c>
      <c r="J17" s="55" t="s">
        <v>594</v>
      </c>
      <c r="K17" s="46" t="s">
        <v>595</v>
      </c>
    </row>
    <row r="18" spans="1:11" ht="40.5" customHeight="1" x14ac:dyDescent="0.35">
      <c r="A18" s="43">
        <v>15</v>
      </c>
      <c r="B18" s="44" t="s">
        <v>136</v>
      </c>
      <c r="C18" s="44" t="s">
        <v>596</v>
      </c>
      <c r="D18" s="44" t="s">
        <v>597</v>
      </c>
      <c r="E18" s="43" t="s">
        <v>416</v>
      </c>
      <c r="F18" s="53">
        <v>1E-3</v>
      </c>
      <c r="G18" s="76">
        <v>8.0000000000000002E-3</v>
      </c>
      <c r="H18" s="54" t="s">
        <v>1720</v>
      </c>
      <c r="I18" s="53">
        <v>11</v>
      </c>
      <c r="J18" s="55" t="s">
        <v>598</v>
      </c>
      <c r="K18" s="46" t="s">
        <v>599</v>
      </c>
    </row>
    <row r="19" spans="1:11" s="70" customFormat="1" ht="39.75" hidden="1" customHeight="1" x14ac:dyDescent="0.35">
      <c r="A19" s="43">
        <v>16</v>
      </c>
      <c r="B19" s="68" t="s">
        <v>600</v>
      </c>
      <c r="C19" s="68" t="s">
        <v>601</v>
      </c>
      <c r="D19" s="68"/>
      <c r="E19" s="71" t="s">
        <v>300</v>
      </c>
      <c r="F19" s="72">
        <v>0.7</v>
      </c>
      <c r="G19" s="71">
        <v>1.5</v>
      </c>
      <c r="H19" s="73" t="s">
        <v>602</v>
      </c>
      <c r="I19" s="72" t="s">
        <v>603</v>
      </c>
      <c r="J19" s="74" t="s">
        <v>604</v>
      </c>
      <c r="K19" s="69" t="s">
        <v>605</v>
      </c>
    </row>
    <row r="20" spans="1:11" ht="38" customHeight="1" x14ac:dyDescent="0.35">
      <c r="A20" s="43">
        <v>17</v>
      </c>
      <c r="B20" s="44" t="s">
        <v>127</v>
      </c>
      <c r="C20" s="44" t="s">
        <v>606</v>
      </c>
      <c r="D20" s="44" t="s">
        <v>607</v>
      </c>
      <c r="E20" s="43" t="s">
        <v>415</v>
      </c>
      <c r="F20" s="53" t="s">
        <v>63</v>
      </c>
      <c r="G20" s="43"/>
      <c r="H20" s="54" t="s">
        <v>608</v>
      </c>
      <c r="I20" s="53" t="s">
        <v>609</v>
      </c>
      <c r="J20" s="55" t="s">
        <v>610</v>
      </c>
      <c r="K20" s="46" t="s">
        <v>611</v>
      </c>
    </row>
    <row r="24" spans="1:11" x14ac:dyDescent="0.35">
      <c r="A24" t="s">
        <v>288</v>
      </c>
    </row>
  </sheetData>
  <protectedRanges>
    <protectedRange sqref="F4:F20 H4:J20" name="Range1"/>
  </protectedRanges>
  <autoFilter ref="A3:K3" xr:uid="{00000000-0001-0000-0500-000000000000}"/>
  <conditionalFormatting sqref="F9">
    <cfRule type="expression" dxfId="32" priority="4">
      <formula>AND(ISNUMBER(F9),F9&gt;1.5)</formula>
    </cfRule>
    <cfRule type="expression" dxfId="31" priority="5">
      <formula>AND(ISNUMBER(F9),F9&lt;=1.5)</formula>
    </cfRule>
  </conditionalFormatting>
  <conditionalFormatting sqref="F10">
    <cfRule type="expression" dxfId="30" priority="6">
      <formula>AND(ISNUMBER(F10),F10&gt;0.5)</formula>
    </cfRule>
    <cfRule type="expression" dxfId="29" priority="7">
      <formula>AND(ISNUMBER(F10),F10&lt;=0.5)</formula>
    </cfRule>
  </conditionalFormatting>
  <conditionalFormatting sqref="F11">
    <cfRule type="expression" dxfId="28" priority="8">
      <formula>AND(ISNUMBER(F11),F11&gt;1)</formula>
    </cfRule>
    <cfRule type="expression" dxfId="27" priority="9">
      <formula>AND(ISNUMBER(F11),F11&lt;=1)</formula>
    </cfRule>
  </conditionalFormatting>
  <conditionalFormatting sqref="F12">
    <cfRule type="expression" dxfId="26" priority="10">
      <formula>AND(ISNUMBER(F12),F12&gt;0.5)</formula>
    </cfRule>
    <cfRule type="expression" dxfId="25" priority="11">
      <formula>AND(ISNUMBER(F12),F12&lt;=0.5)</formula>
    </cfRule>
  </conditionalFormatting>
  <conditionalFormatting sqref="F13">
    <cfRule type="expression" dxfId="24" priority="12">
      <formula>AND(ISNUMBER(F13),F13&gt;0.38)</formula>
    </cfRule>
    <cfRule type="expression" dxfId="23" priority="13">
      <formula>AND(ISNUMBER(F13),F13&lt;=0.38)</formula>
    </cfRule>
  </conditionalFormatting>
  <conditionalFormatting sqref="F14">
    <cfRule type="expression" dxfId="22" priority="14">
      <formula>AND(ISNUMBER(F14),F14&gt;0.15)</formula>
    </cfRule>
    <cfRule type="expression" dxfId="21" priority="15">
      <formula>AND(ISNUMBER(F14),F14&lt;=0.15)</formula>
    </cfRule>
  </conditionalFormatting>
  <conditionalFormatting sqref="F15">
    <cfRule type="expression" dxfId="20" priority="16">
      <formula>AND(ISNUMBER(F15),F15&gt;0.1)</formula>
    </cfRule>
    <cfRule type="expression" dxfId="19" priority="17">
      <formula>AND(ISNUMBER(F15),F15&lt;=0.1)</formula>
    </cfRule>
  </conditionalFormatting>
  <conditionalFormatting sqref="F16">
    <cfRule type="expression" dxfId="18" priority="18">
      <formula>AND(ISNUMBER(F16),F16&gt;0.5)</formula>
    </cfRule>
    <cfRule type="expression" dxfId="17" priority="19">
      <formula>AND(ISNUMBER(F16),F16&lt;=0.5)</formula>
    </cfRule>
  </conditionalFormatting>
  <conditionalFormatting sqref="F17:F19">
    <cfRule type="expression" dxfId="16" priority="1">
      <formula>AND(ISNUMBER(F17),F17&gt;1.5)</formula>
    </cfRule>
    <cfRule type="expression" dxfId="15" priority="2">
      <formula>AND(ISNUMBER(F17),F17&lt;=1.5)</formula>
    </cfRule>
  </conditionalFormatting>
  <dataValidations xWindow="1293" yWindow="793" count="13">
    <dataValidation type="decimal" errorStyle="warning" allowBlank="1" showInputMessage="1" showErrorMessage="1" errorTitle="Out of range" error="Value must be between 1000 and 6000" promptTitle="Hint" prompt="Short circuit level from received from CTU in MVA " sqref="F4" xr:uid="{00000000-0002-0000-0500-000000000000}">
      <formula1>1000</formula1>
      <formula2>30000</formula2>
    </dataValidation>
    <dataValidation type="list" allowBlank="1" showInputMessage="1" showErrorMessage="1" errorTitle="Invalid entry" error="Allowed: Yes, No" promptTitle="Valid options" prompt="Enter Yes or No" sqref="F6 F8" xr:uid="{00000000-0002-0000-0500-000001000000}">
      <formula1>"Yes,No"</formula1>
      <formula2>0</formula2>
    </dataValidation>
    <dataValidation type="decimal" errorStyle="warning" allowBlank="1" showInputMessage="1" showErrorMessage="1" errorTitle="Out of range" error="Value must be between 0 and 1.5" promptTitle="Expected range" prompt="Maximum TDD value in % (limit ≤ 1.5%)" sqref="F9" xr:uid="{00000000-0002-0000-0500-000002000000}">
      <formula1>0</formula1>
      <formula2>1.5</formula2>
    </dataValidation>
    <dataValidation type="decimal" errorStyle="warning" allowBlank="1" showInputMessage="1" showErrorMessage="1" errorTitle="Out of range" error="Value must be between 0 and 0.5" promptTitle="Expected range" prompt="Even harmonic TDD in % (limit ≤ 0.5%)" sqref="F10" xr:uid="{00000000-0002-0000-0500-000003000000}">
      <formula1>0</formula1>
      <formula2>0.5</formula2>
    </dataValidation>
    <dataValidation type="decimal" errorStyle="warning" allowBlank="1" showInputMessage="1" showErrorMessage="1" errorTitle="Out of range" error="Value must be between 0 and 1.0" promptTitle="Expected range" prompt="TDD for 2≤h&lt;11 in % (limit ≤ 1.0%)" sqref="F11" xr:uid="{00000000-0002-0000-0500-000004000000}">
      <formula1>0</formula1>
      <formula2>1</formula2>
    </dataValidation>
    <dataValidation type="decimal" errorStyle="warning" allowBlank="1" showInputMessage="1" showErrorMessage="1" errorTitle="Out of range" error="Value must be between 0 and 0.5" promptTitle="Expected range" prompt="TDD for 11≤h&lt;17 in % (limit ≤ 0.5%)" sqref="F12" xr:uid="{00000000-0002-0000-0500-000005000000}">
      <formula1>0</formula1>
      <formula2>0.5</formula2>
    </dataValidation>
    <dataValidation type="decimal" errorStyle="warning" allowBlank="1" showInputMessage="1" showErrorMessage="1" errorTitle="Out of range" error="Value must be between 0 and 0.38" promptTitle="Expected range" prompt="TDD for 17≤h&lt;23 in % (limit ≤ 0.38%)" sqref="F13" xr:uid="{00000000-0002-0000-0500-000006000000}">
      <formula1>0</formula1>
      <formula2>0.38</formula2>
    </dataValidation>
    <dataValidation type="decimal" errorStyle="warning" allowBlank="1" showInputMessage="1" showErrorMessage="1" errorTitle="Out of range" error="Value must be between 0 and 0.15" promptTitle="Expected range" prompt="TDD for 23≤h&lt;35 in % (limit ≤ 0.15%)" sqref="F14" xr:uid="{00000000-0002-0000-0500-000007000000}">
      <formula1>0</formula1>
      <formula2>0.15</formula2>
    </dataValidation>
    <dataValidation type="decimal" errorStyle="warning" allowBlank="1" showInputMessage="1" showErrorMessage="1" errorTitle="Out of range" error="Value must be between 0 and 0.1" promptTitle="Expected range" prompt="TDD for 35≤h&lt;50 in % (limit ≤ 0.10%)" sqref="F15" xr:uid="{00000000-0002-0000-0500-000008000000}">
      <formula1>0</formula1>
      <formula2>0.1</formula2>
    </dataValidation>
    <dataValidation type="decimal" errorStyle="warning" allowBlank="1" showInputMessage="1" showErrorMessage="1" errorTitle="Out of range" error="Value must be between 0 and 0.5" promptTitle="Expected range" prompt="DC injection as % of rated AC current (limit ≤ 0.5%)" sqref="F16" xr:uid="{00000000-0002-0000-0500-000009000000}">
      <formula1>0</formula1>
      <formula2>0.5</formula2>
    </dataValidation>
    <dataValidation type="decimal" errorStyle="warning" allowBlank="1" showInputMessage="1" showErrorMessage="1" errorTitle="Out of range" error="Value must be between 0 and 1.5" promptTitle="Expected range" prompt="Voltage unbalance % per IEC 61000-4-30 (limit ≤ 1.5%)" sqref="F19" xr:uid="{00000000-0002-0000-0500-00000C000000}">
      <formula1>0</formula1>
      <formula2>1.5</formula2>
    </dataValidation>
    <dataValidation type="list" allowBlank="1" showInputMessage="1" showErrorMessage="1" errorTitle="Invalid entry" error="Allowed: Submitted, Not Submitted" promptTitle="Valid options" prompt="Inter-harmonic data submission (optional)" sqref="F20" xr:uid="{00000000-0002-0000-0500-00000D000000}">
      <formula1>"Submitted,Not Submitted"</formula1>
      <formula2>0</formula2>
    </dataValidation>
    <dataValidation type="list" errorStyle="warning" allowBlank="1" showInputMessage="1" showErrorMessage="1" errorTitle="Invalid entry" error="Allowed: Yes, No" promptTitle="Valid options" prompt="Enter Yes or No" sqref="F7" xr:uid="{1CD1CCAC-3F5E-4F60-9C93-2462D9BBA3C3}">
      <formula1>"Yes,No"</formula1>
    </dataValidation>
  </dataValidations>
  <pageMargins left="0.25" right="0.25" top="0.75" bottom="0.75" header="0.3" footer="0.3"/>
  <pageSetup paperSize="9" scale="41" fitToHeight="6"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pageSetUpPr fitToPage="1"/>
  </sheetPr>
  <dimension ref="A1:O191"/>
  <sheetViews>
    <sheetView showGridLines="0" view="pageBreakPreview" zoomScale="55" zoomScaleNormal="115" zoomScaleSheetLayoutView="55" workbookViewId="0">
      <pane ySplit="3" topLeftCell="A179" activePane="bottomLeft" state="frozen"/>
      <selection activeCell="D1" sqref="D1"/>
      <selection pane="bottomLeft" activeCell="E5" sqref="E5"/>
    </sheetView>
  </sheetViews>
  <sheetFormatPr defaultColWidth="8.6328125" defaultRowHeight="15.5" outlineLevelRow="1" x14ac:dyDescent="0.35"/>
  <cols>
    <col min="1" max="1" width="10" customWidth="1"/>
    <col min="2" max="2" width="27.453125" customWidth="1"/>
    <col min="3" max="3" width="14.453125" style="95" customWidth="1"/>
    <col min="4" max="4" width="60.6328125" bestFit="1" customWidth="1"/>
    <col min="5" max="5" width="39.6328125" style="156" customWidth="1"/>
    <col min="6" max="6" width="11.08984375" customWidth="1"/>
    <col min="7" max="7" width="18.36328125" customWidth="1"/>
    <col min="8" max="8" width="22.36328125" customWidth="1"/>
    <col min="9" max="10" width="17.453125" customWidth="1"/>
    <col min="11" max="11" width="70.1796875" customWidth="1"/>
    <col min="12" max="12" width="21.453125" bestFit="1" customWidth="1"/>
    <col min="13" max="13" width="91.453125" customWidth="1"/>
    <col min="14" max="14" width="77" style="82" customWidth="1"/>
    <col min="15" max="15" width="60" customWidth="1"/>
  </cols>
  <sheetData>
    <row r="1" spans="1:15" ht="18.75" customHeight="1" x14ac:dyDescent="0.45">
      <c r="A1" s="52" t="s">
        <v>612</v>
      </c>
      <c r="C1"/>
      <c r="E1"/>
      <c r="H1" s="103"/>
      <c r="N1" s="121"/>
    </row>
    <row r="2" spans="1:15" ht="18.75" customHeight="1" x14ac:dyDescent="0.45">
      <c r="A2" s="122"/>
      <c r="C2"/>
      <c r="E2"/>
      <c r="H2" s="103"/>
      <c r="N2" s="121"/>
    </row>
    <row r="3" spans="1:15" ht="36" customHeight="1" x14ac:dyDescent="0.35">
      <c r="A3" s="62" t="s">
        <v>291</v>
      </c>
      <c r="B3" s="62" t="s">
        <v>105</v>
      </c>
      <c r="C3" s="62" t="s">
        <v>613</v>
      </c>
      <c r="D3" s="62" t="s">
        <v>292</v>
      </c>
      <c r="E3" s="62" t="s">
        <v>614</v>
      </c>
      <c r="F3" s="62" t="s">
        <v>615</v>
      </c>
      <c r="G3" s="97" t="s">
        <v>616</v>
      </c>
      <c r="H3" s="9" t="s">
        <v>617</v>
      </c>
      <c r="I3" s="99" t="s">
        <v>618</v>
      </c>
      <c r="J3" s="9" t="s">
        <v>619</v>
      </c>
      <c r="K3" s="62" t="s">
        <v>620</v>
      </c>
      <c r="L3" s="62" t="s">
        <v>298</v>
      </c>
      <c r="M3" s="63" t="s">
        <v>212</v>
      </c>
      <c r="N3" s="63" t="s">
        <v>621</v>
      </c>
      <c r="O3" s="63"/>
    </row>
    <row r="4" spans="1:15" ht="46.5" x14ac:dyDescent="0.35">
      <c r="A4" s="82">
        <v>1</v>
      </c>
      <c r="B4" s="82" t="s">
        <v>622</v>
      </c>
      <c r="C4" s="96"/>
      <c r="D4" s="82" t="s">
        <v>623</v>
      </c>
      <c r="E4" s="82"/>
      <c r="F4" s="82" t="s">
        <v>276</v>
      </c>
      <c r="G4" s="91" t="s">
        <v>550</v>
      </c>
      <c r="H4" s="102" t="s">
        <v>550</v>
      </c>
      <c r="I4" s="84" t="s">
        <v>416</v>
      </c>
      <c r="J4" s="84" t="s">
        <v>416</v>
      </c>
      <c r="K4" s="85" t="s">
        <v>1648</v>
      </c>
      <c r="L4" s="83"/>
      <c r="M4" s="86" t="s">
        <v>625</v>
      </c>
      <c r="O4" s="90"/>
    </row>
    <row r="5" spans="1:15" ht="54" customHeight="1" x14ac:dyDescent="0.35">
      <c r="A5" s="82">
        <v>2</v>
      </c>
      <c r="B5" s="82" t="s">
        <v>626</v>
      </c>
      <c r="C5" s="96"/>
      <c r="D5" s="82" t="s">
        <v>627</v>
      </c>
      <c r="E5" s="82"/>
      <c r="F5" s="82" t="s">
        <v>276</v>
      </c>
      <c r="G5" s="91" t="s">
        <v>550</v>
      </c>
      <c r="H5" s="92" t="s">
        <v>550</v>
      </c>
      <c r="I5" s="84" t="s">
        <v>416</v>
      </c>
      <c r="J5" s="84" t="s">
        <v>416</v>
      </c>
      <c r="K5" s="85" t="s">
        <v>1648</v>
      </c>
      <c r="L5" s="83"/>
      <c r="M5" s="86" t="s">
        <v>628</v>
      </c>
      <c r="O5" s="90"/>
    </row>
    <row r="6" spans="1:15" ht="46.5" x14ac:dyDescent="0.35">
      <c r="A6" s="82">
        <v>3</v>
      </c>
      <c r="B6" s="82" t="s">
        <v>626</v>
      </c>
      <c r="C6" s="96"/>
      <c r="D6" s="82" t="s">
        <v>629</v>
      </c>
      <c r="E6" s="82"/>
      <c r="F6" s="82" t="s">
        <v>276</v>
      </c>
      <c r="G6" s="91" t="s">
        <v>550</v>
      </c>
      <c r="H6" s="92" t="s">
        <v>550</v>
      </c>
      <c r="I6" s="84" t="s">
        <v>416</v>
      </c>
      <c r="J6" s="84" t="s">
        <v>416</v>
      </c>
      <c r="K6" s="85" t="s">
        <v>1648</v>
      </c>
      <c r="L6" s="83"/>
      <c r="M6" s="86" t="s">
        <v>630</v>
      </c>
      <c r="O6" s="90"/>
    </row>
    <row r="7" spans="1:15" ht="62" x14ac:dyDescent="0.35">
      <c r="A7" s="82">
        <v>4</v>
      </c>
      <c r="B7" s="82" t="s">
        <v>622</v>
      </c>
      <c r="C7" s="96" t="s">
        <v>631</v>
      </c>
      <c r="D7" s="82" t="s">
        <v>632</v>
      </c>
      <c r="E7" s="96" t="s">
        <v>633</v>
      </c>
      <c r="F7" s="82" t="s">
        <v>310</v>
      </c>
      <c r="G7" s="83">
        <v>0.10166600000000001</v>
      </c>
      <c r="H7" s="83">
        <v>0.58979999999999999</v>
      </c>
      <c r="I7" s="84">
        <v>0</v>
      </c>
      <c r="J7" s="84">
        <f>1</f>
        <v>1</v>
      </c>
      <c r="K7" s="85" t="s">
        <v>1648</v>
      </c>
      <c r="L7" s="83">
        <v>122</v>
      </c>
      <c r="M7" s="86" t="s">
        <v>634</v>
      </c>
      <c r="O7" s="90"/>
    </row>
    <row r="8" spans="1:15" ht="46.5" outlineLevel="1" x14ac:dyDescent="0.35">
      <c r="A8" s="82">
        <v>5</v>
      </c>
      <c r="B8" s="82" t="s">
        <v>622</v>
      </c>
      <c r="C8" s="96" t="s">
        <v>631</v>
      </c>
      <c r="D8" s="82" t="s">
        <v>635</v>
      </c>
      <c r="E8" s="96" t="s">
        <v>636</v>
      </c>
      <c r="F8" s="82" t="s">
        <v>310</v>
      </c>
      <c r="G8" s="83">
        <v>0.33692499999999997</v>
      </c>
      <c r="H8" s="83">
        <f>0.0018+0.5898</f>
        <v>0.59160000000000001</v>
      </c>
      <c r="I8" s="84">
        <v>-1</v>
      </c>
      <c r="J8" s="84">
        <v>1</v>
      </c>
      <c r="K8" s="85" t="s">
        <v>1648</v>
      </c>
      <c r="L8" s="83">
        <v>122</v>
      </c>
      <c r="M8" s="112" t="s">
        <v>638</v>
      </c>
      <c r="O8" s="90"/>
    </row>
    <row r="9" spans="1:15" ht="46.5" outlineLevel="1" x14ac:dyDescent="0.35">
      <c r="A9" s="82">
        <v>6</v>
      </c>
      <c r="B9" s="82" t="s">
        <v>622</v>
      </c>
      <c r="C9" s="96" t="s">
        <v>631</v>
      </c>
      <c r="D9" s="82" t="s">
        <v>639</v>
      </c>
      <c r="E9" s="96" t="s">
        <v>640</v>
      </c>
      <c r="F9" s="82" t="s">
        <v>310</v>
      </c>
      <c r="G9" s="107">
        <v>0.86963500000000005</v>
      </c>
      <c r="H9" s="83">
        <v>0.27439999999999998</v>
      </c>
      <c r="I9" s="84">
        <v>0</v>
      </c>
      <c r="J9" s="84">
        <v>1</v>
      </c>
      <c r="K9" s="85" t="s">
        <v>1648</v>
      </c>
      <c r="L9" s="83">
        <v>122</v>
      </c>
      <c r="M9" s="86" t="s">
        <v>641</v>
      </c>
      <c r="O9" s="90"/>
    </row>
    <row r="10" spans="1:15" ht="46.5" outlineLevel="1" x14ac:dyDescent="0.35">
      <c r="A10" s="82">
        <v>7</v>
      </c>
      <c r="B10" s="82" t="s">
        <v>622</v>
      </c>
      <c r="C10" s="96" t="s">
        <v>631</v>
      </c>
      <c r="D10" s="82" t="s">
        <v>642</v>
      </c>
      <c r="E10" s="96" t="s">
        <v>643</v>
      </c>
      <c r="F10" s="82" t="s">
        <v>310</v>
      </c>
      <c r="G10" s="108">
        <v>0.93711100756847376</v>
      </c>
      <c r="H10" s="83">
        <v>0.2747</v>
      </c>
      <c r="I10" s="84">
        <v>0</v>
      </c>
      <c r="J10" s="84">
        <v>1</v>
      </c>
      <c r="K10" s="85" t="s">
        <v>1648</v>
      </c>
      <c r="L10" s="83">
        <v>122</v>
      </c>
      <c r="M10" s="86" t="s">
        <v>644</v>
      </c>
      <c r="O10" s="90"/>
    </row>
    <row r="11" spans="1:15" ht="46.5" outlineLevel="1" x14ac:dyDescent="0.35">
      <c r="A11" s="82">
        <v>8</v>
      </c>
      <c r="B11" s="82" t="s">
        <v>622</v>
      </c>
      <c r="C11" s="96" t="s">
        <v>631</v>
      </c>
      <c r="D11" s="82" t="s">
        <v>645</v>
      </c>
      <c r="E11" s="96" t="s">
        <v>646</v>
      </c>
      <c r="F11" s="82" t="s">
        <v>300</v>
      </c>
      <c r="G11" s="107" t="s">
        <v>149</v>
      </c>
      <c r="H11" s="160">
        <v>0.26900000000000002</v>
      </c>
      <c r="I11" s="84">
        <v>90</v>
      </c>
      <c r="J11" s="84">
        <v>90</v>
      </c>
      <c r="K11" s="85" t="s">
        <v>1648</v>
      </c>
      <c r="L11" s="83">
        <v>122</v>
      </c>
      <c r="M11" s="86" t="s">
        <v>647</v>
      </c>
      <c r="O11" s="90"/>
    </row>
    <row r="12" spans="1:15" ht="62" outlineLevel="1" x14ac:dyDescent="0.35">
      <c r="A12" s="82">
        <v>9</v>
      </c>
      <c r="B12" s="82" t="s">
        <v>622</v>
      </c>
      <c r="C12" s="96" t="s">
        <v>631</v>
      </c>
      <c r="D12" s="82" t="s">
        <v>648</v>
      </c>
      <c r="E12" s="96" t="s">
        <v>633</v>
      </c>
      <c r="F12" s="82" t="s">
        <v>310</v>
      </c>
      <c r="G12" s="158">
        <v>1.029935</v>
      </c>
      <c r="H12" s="83">
        <v>0.86729999999999996</v>
      </c>
      <c r="I12" s="84">
        <v>0</v>
      </c>
      <c r="J12" s="84">
        <v>1</v>
      </c>
      <c r="K12" s="85" t="s">
        <v>1648</v>
      </c>
      <c r="L12" s="83">
        <v>124</v>
      </c>
      <c r="M12" s="86" t="s">
        <v>649</v>
      </c>
      <c r="O12" s="90"/>
    </row>
    <row r="13" spans="1:15" ht="31" outlineLevel="1" x14ac:dyDescent="0.35">
      <c r="A13" s="82">
        <v>10</v>
      </c>
      <c r="B13" s="82" t="s">
        <v>622</v>
      </c>
      <c r="C13" s="96" t="s">
        <v>631</v>
      </c>
      <c r="D13" s="82" t="s">
        <v>650</v>
      </c>
      <c r="E13" s="96" t="s">
        <v>636</v>
      </c>
      <c r="F13" s="82" t="s">
        <v>310</v>
      </c>
      <c r="G13" s="158">
        <v>1.1000000000000001</v>
      </c>
      <c r="H13" s="83">
        <f>0.0027+0.8673</f>
        <v>0.87</v>
      </c>
      <c r="I13" s="84">
        <v>-1</v>
      </c>
      <c r="J13" s="84">
        <v>1</v>
      </c>
      <c r="K13" s="85" t="s">
        <v>1648</v>
      </c>
      <c r="L13" s="83">
        <v>124</v>
      </c>
      <c r="M13" s="112" t="s">
        <v>651</v>
      </c>
      <c r="O13" s="90"/>
    </row>
    <row r="14" spans="1:15" ht="46.5" outlineLevel="1" x14ac:dyDescent="0.35">
      <c r="A14" s="82">
        <v>11</v>
      </c>
      <c r="B14" s="82" t="s">
        <v>622</v>
      </c>
      <c r="C14" s="96" t="s">
        <v>631</v>
      </c>
      <c r="D14" s="82" t="s">
        <v>652</v>
      </c>
      <c r="E14" s="96" t="s">
        <v>653</v>
      </c>
      <c r="F14" s="82" t="s">
        <v>310</v>
      </c>
      <c r="G14" s="158">
        <v>9.9999999999999995E-7</v>
      </c>
      <c r="H14" s="107">
        <v>0.44180000000000003</v>
      </c>
      <c r="I14" s="84">
        <v>1E-3</v>
      </c>
      <c r="J14" s="84">
        <v>1</v>
      </c>
      <c r="K14" s="85" t="s">
        <v>1648</v>
      </c>
      <c r="L14" s="83">
        <v>124</v>
      </c>
      <c r="M14" s="86" t="s">
        <v>654</v>
      </c>
      <c r="O14" s="90"/>
    </row>
    <row r="15" spans="1:15" ht="31" outlineLevel="1" x14ac:dyDescent="0.35">
      <c r="A15" s="82">
        <v>12</v>
      </c>
      <c r="B15" s="82" t="s">
        <v>622</v>
      </c>
      <c r="C15" s="96" t="s">
        <v>631</v>
      </c>
      <c r="D15" s="82" t="s">
        <v>655</v>
      </c>
      <c r="E15" s="96" t="s">
        <v>656</v>
      </c>
      <c r="F15" s="82" t="s">
        <v>310</v>
      </c>
      <c r="G15" s="159">
        <v>1.1000000000004551</v>
      </c>
      <c r="H15" s="108">
        <v>0.94269999999999998</v>
      </c>
      <c r="I15" s="84">
        <v>1E-3</v>
      </c>
      <c r="J15" s="84">
        <v>1</v>
      </c>
      <c r="K15" s="85" t="s">
        <v>1648</v>
      </c>
      <c r="L15" s="83">
        <v>124</v>
      </c>
      <c r="M15" s="86" t="s">
        <v>657</v>
      </c>
      <c r="O15" s="90"/>
    </row>
    <row r="16" spans="1:15" ht="46.5" outlineLevel="1" x14ac:dyDescent="0.35">
      <c r="A16" s="82">
        <v>13</v>
      </c>
      <c r="B16" s="82" t="s">
        <v>622</v>
      </c>
      <c r="C16" s="96" t="s">
        <v>631</v>
      </c>
      <c r="D16" s="82" t="s">
        <v>658</v>
      </c>
      <c r="E16" s="96" t="s">
        <v>646</v>
      </c>
      <c r="F16" s="82" t="s">
        <v>300</v>
      </c>
      <c r="G16" s="107" t="s">
        <v>149</v>
      </c>
      <c r="H16" s="160">
        <v>0.95120000000000005</v>
      </c>
      <c r="I16" s="84">
        <v>90</v>
      </c>
      <c r="J16" s="84">
        <v>90</v>
      </c>
      <c r="K16" s="85" t="s">
        <v>1648</v>
      </c>
      <c r="L16" s="83">
        <v>124</v>
      </c>
      <c r="M16" s="86" t="s">
        <v>659</v>
      </c>
      <c r="O16" s="90"/>
    </row>
    <row r="17" spans="1:15" ht="62" outlineLevel="1" x14ac:dyDescent="0.35">
      <c r="A17" s="82">
        <v>14</v>
      </c>
      <c r="B17" s="82" t="s">
        <v>622</v>
      </c>
      <c r="C17" s="96" t="s">
        <v>631</v>
      </c>
      <c r="D17" s="82" t="s">
        <v>660</v>
      </c>
      <c r="E17" s="96" t="s">
        <v>633</v>
      </c>
      <c r="F17" s="82" t="s">
        <v>310</v>
      </c>
      <c r="G17" s="83">
        <v>0.6</v>
      </c>
      <c r="H17" s="83">
        <v>0.29149999999999998</v>
      </c>
      <c r="I17" s="84">
        <v>0</v>
      </c>
      <c r="J17" s="84">
        <v>1</v>
      </c>
      <c r="K17" s="85" t="s">
        <v>1648</v>
      </c>
      <c r="L17" s="83">
        <v>123</v>
      </c>
      <c r="M17" s="86" t="s">
        <v>661</v>
      </c>
      <c r="O17" s="90"/>
    </row>
    <row r="18" spans="1:15" ht="31" outlineLevel="1" x14ac:dyDescent="0.35">
      <c r="A18" s="82">
        <v>15</v>
      </c>
      <c r="B18" s="82" t="s">
        <v>622</v>
      </c>
      <c r="C18" s="96" t="s">
        <v>631</v>
      </c>
      <c r="D18" s="82" t="s">
        <v>662</v>
      </c>
      <c r="E18" s="96" t="s">
        <v>636</v>
      </c>
      <c r="F18" s="82" t="s">
        <v>310</v>
      </c>
      <c r="G18" s="158">
        <v>0.586696</v>
      </c>
      <c r="H18" s="83">
        <f>0.7985+0.2915</f>
        <v>1.0899999999999999</v>
      </c>
      <c r="I18" s="84">
        <v>-1</v>
      </c>
      <c r="J18" s="84">
        <v>1</v>
      </c>
      <c r="K18" s="85" t="s">
        <v>1648</v>
      </c>
      <c r="L18" s="83">
        <v>123</v>
      </c>
      <c r="M18" s="112" t="s">
        <v>663</v>
      </c>
      <c r="O18" s="90"/>
    </row>
    <row r="19" spans="1:15" ht="62" outlineLevel="1" x14ac:dyDescent="0.35">
      <c r="A19" s="82">
        <v>16</v>
      </c>
      <c r="B19" s="82" t="s">
        <v>622</v>
      </c>
      <c r="C19" s="96" t="s">
        <v>631</v>
      </c>
      <c r="D19" s="82" t="s">
        <v>664</v>
      </c>
      <c r="E19" s="96" t="s">
        <v>633</v>
      </c>
      <c r="F19" s="82" t="s">
        <v>310</v>
      </c>
      <c r="G19" s="82" t="s">
        <v>1646</v>
      </c>
      <c r="H19" s="84" t="s">
        <v>416</v>
      </c>
      <c r="I19" s="84">
        <v>0</v>
      </c>
      <c r="J19" s="84">
        <v>1</v>
      </c>
      <c r="K19" s="82" t="s">
        <v>1646</v>
      </c>
      <c r="L19" s="82" t="s">
        <v>1646</v>
      </c>
      <c r="M19" s="86" t="s">
        <v>665</v>
      </c>
      <c r="O19" s="90"/>
    </row>
    <row r="20" spans="1:15" ht="31" outlineLevel="1" x14ac:dyDescent="0.35">
      <c r="A20" s="82">
        <v>17</v>
      </c>
      <c r="B20" s="82" t="s">
        <v>622</v>
      </c>
      <c r="C20" s="96" t="s">
        <v>631</v>
      </c>
      <c r="D20" s="82" t="s">
        <v>666</v>
      </c>
      <c r="E20" s="96" t="s">
        <v>636</v>
      </c>
      <c r="F20" s="82" t="s">
        <v>310</v>
      </c>
      <c r="G20" s="82" t="s">
        <v>1646</v>
      </c>
      <c r="H20" s="84" t="s">
        <v>416</v>
      </c>
      <c r="I20" s="84">
        <v>-1</v>
      </c>
      <c r="J20" s="84">
        <v>1</v>
      </c>
      <c r="K20" s="82" t="s">
        <v>1646</v>
      </c>
      <c r="L20" s="82" t="s">
        <v>1646</v>
      </c>
      <c r="M20" s="112" t="s">
        <v>667</v>
      </c>
      <c r="O20" s="90"/>
    </row>
    <row r="21" spans="1:15" ht="46.5" outlineLevel="1" x14ac:dyDescent="0.35">
      <c r="A21" s="82">
        <v>18</v>
      </c>
      <c r="B21" s="82" t="s">
        <v>622</v>
      </c>
      <c r="C21" s="96" t="s">
        <v>631</v>
      </c>
      <c r="D21" s="82" t="s">
        <v>668</v>
      </c>
      <c r="E21" s="96" t="s">
        <v>669</v>
      </c>
      <c r="F21" s="82" t="s">
        <v>310</v>
      </c>
      <c r="G21" s="82" t="s">
        <v>1646</v>
      </c>
      <c r="H21" s="84" t="s">
        <v>416</v>
      </c>
      <c r="I21" s="84">
        <v>1E-3</v>
      </c>
      <c r="J21" s="84">
        <v>1</v>
      </c>
      <c r="K21" s="82" t="s">
        <v>1646</v>
      </c>
      <c r="L21" s="82" t="s">
        <v>1646</v>
      </c>
      <c r="M21" s="86" t="s">
        <v>641</v>
      </c>
      <c r="O21" s="90"/>
    </row>
    <row r="22" spans="1:15" ht="38.25" customHeight="1" outlineLevel="1" x14ac:dyDescent="0.35">
      <c r="A22" s="82">
        <v>19</v>
      </c>
      <c r="B22" s="82" t="s">
        <v>622</v>
      </c>
      <c r="C22" s="96" t="s">
        <v>631</v>
      </c>
      <c r="D22" s="82" t="s">
        <v>670</v>
      </c>
      <c r="E22" s="96" t="s">
        <v>671</v>
      </c>
      <c r="F22" s="82" t="s">
        <v>310</v>
      </c>
      <c r="G22" s="82" t="s">
        <v>1646</v>
      </c>
      <c r="H22" s="84" t="s">
        <v>416</v>
      </c>
      <c r="I22" s="84">
        <v>1E-3</v>
      </c>
      <c r="J22" s="84">
        <v>1</v>
      </c>
      <c r="K22" s="82" t="s">
        <v>1646</v>
      </c>
      <c r="L22" s="82" t="s">
        <v>1646</v>
      </c>
      <c r="M22" s="86" t="s">
        <v>672</v>
      </c>
      <c r="O22" s="90"/>
    </row>
    <row r="23" spans="1:15" ht="46.5" outlineLevel="1" x14ac:dyDescent="0.35">
      <c r="A23" s="82">
        <v>20</v>
      </c>
      <c r="B23" s="82" t="s">
        <v>622</v>
      </c>
      <c r="C23" s="96" t="s">
        <v>631</v>
      </c>
      <c r="D23" s="82" t="s">
        <v>673</v>
      </c>
      <c r="E23" s="96" t="s">
        <v>674</v>
      </c>
      <c r="F23" s="82" t="s">
        <v>310</v>
      </c>
      <c r="G23" s="158">
        <v>42.294609999999999</v>
      </c>
      <c r="H23" s="158">
        <v>0.12</v>
      </c>
      <c r="I23" s="84">
        <v>1E-3</v>
      </c>
      <c r="J23" s="84">
        <v>1</v>
      </c>
      <c r="K23" s="85" t="s">
        <v>1648</v>
      </c>
      <c r="L23" s="83">
        <v>121</v>
      </c>
      <c r="M23" s="112" t="s">
        <v>675</v>
      </c>
      <c r="O23" s="90"/>
    </row>
    <row r="24" spans="1:15" ht="190.5" customHeight="1" outlineLevel="1" x14ac:dyDescent="0.35">
      <c r="A24" s="82">
        <v>21</v>
      </c>
      <c r="B24" s="82" t="s">
        <v>622</v>
      </c>
      <c r="C24" s="96" t="s">
        <v>676</v>
      </c>
      <c r="D24" s="82" t="s">
        <v>677</v>
      </c>
      <c r="E24" s="96" t="s">
        <v>633</v>
      </c>
      <c r="F24" s="82" t="s">
        <v>310</v>
      </c>
      <c r="G24" s="159">
        <v>1.755137179194834</v>
      </c>
      <c r="H24" s="84">
        <v>0.32579999999999998</v>
      </c>
      <c r="I24" s="84">
        <v>0</v>
      </c>
      <c r="J24" s="84">
        <f>1</f>
        <v>1</v>
      </c>
      <c r="K24" s="85" t="s">
        <v>1648</v>
      </c>
      <c r="L24" s="83">
        <v>118</v>
      </c>
      <c r="M24" s="112" t="s">
        <v>678</v>
      </c>
      <c r="O24" s="90"/>
    </row>
    <row r="25" spans="1:15" ht="141.75" customHeight="1" outlineLevel="1" x14ac:dyDescent="0.35">
      <c r="A25" s="82">
        <v>22</v>
      </c>
      <c r="B25" s="82" t="s">
        <v>622</v>
      </c>
      <c r="C25" s="96" t="s">
        <v>676</v>
      </c>
      <c r="D25" s="82" t="s">
        <v>679</v>
      </c>
      <c r="E25" s="96" t="s">
        <v>636</v>
      </c>
      <c r="F25" s="82" t="s">
        <v>310</v>
      </c>
      <c r="G25" s="158">
        <v>5.2422000000000003E-2</v>
      </c>
      <c r="H25" s="84">
        <f>0.001+0.3258</f>
        <v>0.32679999999999998</v>
      </c>
      <c r="I25" s="84">
        <v>-1</v>
      </c>
      <c r="J25" s="84">
        <v>1</v>
      </c>
      <c r="K25" s="85" t="s">
        <v>1648</v>
      </c>
      <c r="L25" s="83">
        <v>118</v>
      </c>
      <c r="M25" s="112" t="s">
        <v>680</v>
      </c>
      <c r="O25" s="90"/>
    </row>
    <row r="26" spans="1:15" ht="46.5" outlineLevel="1" x14ac:dyDescent="0.35">
      <c r="A26" s="82">
        <v>23</v>
      </c>
      <c r="B26" s="82" t="s">
        <v>622</v>
      </c>
      <c r="C26" s="96" t="s">
        <v>676</v>
      </c>
      <c r="D26" s="82" t="s">
        <v>681</v>
      </c>
      <c r="E26" s="96" t="s">
        <v>640</v>
      </c>
      <c r="F26" s="82" t="s">
        <v>310</v>
      </c>
      <c r="G26" s="158">
        <v>0.28768100000000002</v>
      </c>
      <c r="H26" s="93">
        <v>0.27400000000000002</v>
      </c>
      <c r="I26" s="84">
        <v>0</v>
      </c>
      <c r="J26" s="84">
        <v>1</v>
      </c>
      <c r="K26" s="85" t="s">
        <v>1648</v>
      </c>
      <c r="L26" s="83">
        <v>118</v>
      </c>
      <c r="M26" s="112" t="s">
        <v>682</v>
      </c>
      <c r="O26" s="90"/>
    </row>
    <row r="27" spans="1:15" ht="46.5" outlineLevel="1" x14ac:dyDescent="0.35">
      <c r="A27" s="82">
        <v>24</v>
      </c>
      <c r="B27" s="82" t="s">
        <v>622</v>
      </c>
      <c r="C27" s="96" t="s">
        <v>676</v>
      </c>
      <c r="D27" s="82" t="s">
        <v>683</v>
      </c>
      <c r="E27" s="96" t="s">
        <v>643</v>
      </c>
      <c r="F27" s="82" t="s">
        <v>310</v>
      </c>
      <c r="G27" s="158">
        <v>0.54343200000000003</v>
      </c>
      <c r="H27" s="93">
        <v>0.27300000000000002</v>
      </c>
      <c r="I27" s="84">
        <v>0</v>
      </c>
      <c r="J27" s="84">
        <v>1</v>
      </c>
      <c r="K27" s="85" t="s">
        <v>1648</v>
      </c>
      <c r="L27" s="83">
        <v>118</v>
      </c>
      <c r="M27" s="112" t="s">
        <v>684</v>
      </c>
      <c r="O27" s="90"/>
    </row>
    <row r="28" spans="1:15" ht="46.5" outlineLevel="1" x14ac:dyDescent="0.35">
      <c r="A28" s="82">
        <v>25</v>
      </c>
      <c r="B28" s="82" t="s">
        <v>622</v>
      </c>
      <c r="C28" s="96" t="s">
        <v>676</v>
      </c>
      <c r="D28" s="82" t="s">
        <v>685</v>
      </c>
      <c r="E28" s="96" t="s">
        <v>646</v>
      </c>
      <c r="F28" s="82" t="s">
        <v>300</v>
      </c>
      <c r="G28" s="159">
        <v>0.61739937580872239</v>
      </c>
      <c r="H28" s="93">
        <v>0.26900000000000002</v>
      </c>
      <c r="I28" s="84">
        <v>90</v>
      </c>
      <c r="J28" s="84">
        <v>90</v>
      </c>
      <c r="K28" s="85" t="s">
        <v>1648</v>
      </c>
      <c r="L28" s="83">
        <v>118</v>
      </c>
      <c r="M28" s="112" t="s">
        <v>686</v>
      </c>
      <c r="O28" s="90"/>
    </row>
    <row r="29" spans="1:15" ht="62" outlineLevel="1" x14ac:dyDescent="0.35">
      <c r="A29" s="82">
        <v>26</v>
      </c>
      <c r="B29" s="82" t="s">
        <v>622</v>
      </c>
      <c r="C29" s="96" t="s">
        <v>676</v>
      </c>
      <c r="D29" s="82" t="s">
        <v>687</v>
      </c>
      <c r="E29" s="96" t="s">
        <v>633</v>
      </c>
      <c r="F29" s="82" t="s">
        <v>310</v>
      </c>
      <c r="G29" s="158">
        <v>4.9199700000000002</v>
      </c>
      <c r="H29" s="83">
        <v>0.45540000000000003</v>
      </c>
      <c r="I29" s="84">
        <v>0</v>
      </c>
      <c r="J29" s="84">
        <v>1</v>
      </c>
      <c r="K29" s="85" t="s">
        <v>1648</v>
      </c>
      <c r="L29" s="83">
        <v>120</v>
      </c>
      <c r="M29" s="112" t="s">
        <v>688</v>
      </c>
      <c r="O29" s="90"/>
    </row>
    <row r="30" spans="1:15" ht="31" outlineLevel="1" x14ac:dyDescent="0.35">
      <c r="A30" s="82">
        <v>27</v>
      </c>
      <c r="B30" s="82" t="s">
        <v>622</v>
      </c>
      <c r="C30" s="96" t="s">
        <v>676</v>
      </c>
      <c r="D30" s="82" t="s">
        <v>689</v>
      </c>
      <c r="E30" s="96" t="s">
        <v>636</v>
      </c>
      <c r="F30" s="82" t="s">
        <v>310</v>
      </c>
      <c r="G30" s="158">
        <v>0.62619800000000003</v>
      </c>
      <c r="H30" s="83">
        <f>0.0046+0.4554</f>
        <v>0.46</v>
      </c>
      <c r="I30" s="84">
        <v>-1</v>
      </c>
      <c r="J30" s="84">
        <v>1</v>
      </c>
      <c r="K30" s="85" t="s">
        <v>1648</v>
      </c>
      <c r="L30" s="83">
        <v>120</v>
      </c>
      <c r="M30" s="112" t="s">
        <v>690</v>
      </c>
      <c r="O30" s="90"/>
    </row>
    <row r="31" spans="1:15" ht="46.5" outlineLevel="1" x14ac:dyDescent="0.35">
      <c r="A31" s="82">
        <v>28</v>
      </c>
      <c r="B31" s="82" t="s">
        <v>622</v>
      </c>
      <c r="C31" s="96" t="s">
        <v>676</v>
      </c>
      <c r="D31" s="82" t="s">
        <v>691</v>
      </c>
      <c r="E31" s="96" t="s">
        <v>653</v>
      </c>
      <c r="F31" s="82" t="s">
        <v>310</v>
      </c>
      <c r="G31" s="158">
        <v>0.68438500000000002</v>
      </c>
      <c r="H31" s="107">
        <v>0.94</v>
      </c>
      <c r="I31" s="84">
        <v>1E-3</v>
      </c>
      <c r="J31" s="84">
        <v>1</v>
      </c>
      <c r="K31" s="85" t="s">
        <v>1648</v>
      </c>
      <c r="L31" s="83">
        <v>120</v>
      </c>
      <c r="M31" s="112" t="s">
        <v>692</v>
      </c>
      <c r="O31" s="90"/>
    </row>
    <row r="32" spans="1:15" ht="31" outlineLevel="1" x14ac:dyDescent="0.35">
      <c r="A32" s="82">
        <v>29</v>
      </c>
      <c r="B32" s="82" t="s">
        <v>622</v>
      </c>
      <c r="C32" s="96" t="s">
        <v>676</v>
      </c>
      <c r="D32" s="82" t="s">
        <v>693</v>
      </c>
      <c r="E32" s="96" t="s">
        <v>656</v>
      </c>
      <c r="F32" s="82" t="s">
        <v>310</v>
      </c>
      <c r="G32" s="158">
        <v>0.84745700000000002</v>
      </c>
      <c r="H32" s="108">
        <v>0.93840000000000001</v>
      </c>
      <c r="I32" s="84">
        <v>1E-3</v>
      </c>
      <c r="J32" s="84">
        <v>1</v>
      </c>
      <c r="K32" s="85" t="s">
        <v>1648</v>
      </c>
      <c r="L32" s="83">
        <v>120</v>
      </c>
      <c r="M32" s="112" t="s">
        <v>694</v>
      </c>
      <c r="O32" s="90"/>
    </row>
    <row r="33" spans="1:15" ht="46.5" outlineLevel="1" x14ac:dyDescent="0.35">
      <c r="A33" s="82">
        <v>30</v>
      </c>
      <c r="B33" s="82" t="s">
        <v>622</v>
      </c>
      <c r="C33" s="96" t="s">
        <v>676</v>
      </c>
      <c r="D33" s="82" t="s">
        <v>695</v>
      </c>
      <c r="E33" s="96" t="s">
        <v>646</v>
      </c>
      <c r="F33" s="82" t="s">
        <v>300</v>
      </c>
      <c r="G33" s="159">
        <v>1.098712379321358</v>
      </c>
      <c r="H33" s="160">
        <v>0.95</v>
      </c>
      <c r="I33" s="84">
        <v>90</v>
      </c>
      <c r="J33" s="84">
        <v>90</v>
      </c>
      <c r="K33" s="85" t="s">
        <v>1648</v>
      </c>
      <c r="L33" s="83">
        <v>120</v>
      </c>
      <c r="M33" s="112" t="s">
        <v>696</v>
      </c>
      <c r="O33" s="90"/>
    </row>
    <row r="34" spans="1:15" ht="62" outlineLevel="1" x14ac:dyDescent="0.35">
      <c r="A34" s="82">
        <v>31</v>
      </c>
      <c r="B34" s="82" t="s">
        <v>622</v>
      </c>
      <c r="C34" s="96" t="s">
        <v>676</v>
      </c>
      <c r="D34" s="82" t="s">
        <v>697</v>
      </c>
      <c r="E34" s="96" t="s">
        <v>633</v>
      </c>
      <c r="F34" s="82" t="s">
        <v>310</v>
      </c>
      <c r="G34" s="158">
        <v>67.480699999999999</v>
      </c>
      <c r="H34" s="83">
        <v>0.29189999999999999</v>
      </c>
      <c r="I34" s="84">
        <v>0</v>
      </c>
      <c r="J34" s="84">
        <v>1</v>
      </c>
      <c r="K34" s="85" t="s">
        <v>1648</v>
      </c>
      <c r="L34" s="83">
        <v>119</v>
      </c>
      <c r="M34" s="112" t="s">
        <v>698</v>
      </c>
      <c r="O34" s="90"/>
    </row>
    <row r="35" spans="1:15" ht="31" outlineLevel="1" x14ac:dyDescent="0.35">
      <c r="A35" s="82">
        <v>32</v>
      </c>
      <c r="B35" s="82" t="s">
        <v>622</v>
      </c>
      <c r="C35" s="96" t="s">
        <v>676</v>
      </c>
      <c r="D35" s="82" t="s">
        <v>699</v>
      </c>
      <c r="E35" s="96" t="s">
        <v>636</v>
      </c>
      <c r="F35" s="82" t="s">
        <v>310</v>
      </c>
      <c r="G35" s="158">
        <v>0.586696</v>
      </c>
      <c r="H35" s="83">
        <f>0.7981+0.2919</f>
        <v>1.0900000000000001</v>
      </c>
      <c r="I35" s="84">
        <v>-1</v>
      </c>
      <c r="J35" s="84">
        <v>1</v>
      </c>
      <c r="K35" s="85" t="s">
        <v>1648</v>
      </c>
      <c r="L35" s="83">
        <v>119</v>
      </c>
      <c r="M35" s="112" t="s">
        <v>700</v>
      </c>
      <c r="O35" s="90"/>
    </row>
    <row r="36" spans="1:15" ht="62" outlineLevel="1" x14ac:dyDescent="0.35">
      <c r="A36" s="82">
        <v>33</v>
      </c>
      <c r="B36" s="82" t="s">
        <v>622</v>
      </c>
      <c r="C36" s="96" t="s">
        <v>676</v>
      </c>
      <c r="D36" s="82" t="s">
        <v>701</v>
      </c>
      <c r="E36" s="96" t="s">
        <v>633</v>
      </c>
      <c r="F36" s="82" t="s">
        <v>310</v>
      </c>
      <c r="G36" s="82" t="s">
        <v>1646</v>
      </c>
      <c r="H36" s="84" t="s">
        <v>416</v>
      </c>
      <c r="I36" s="84">
        <v>0</v>
      </c>
      <c r="J36" s="84">
        <v>1</v>
      </c>
      <c r="K36" s="82" t="s">
        <v>1646</v>
      </c>
      <c r="L36" s="82" t="s">
        <v>1646</v>
      </c>
      <c r="M36" s="112" t="s">
        <v>702</v>
      </c>
      <c r="O36" s="90"/>
    </row>
    <row r="37" spans="1:15" ht="31" outlineLevel="1" x14ac:dyDescent="0.35">
      <c r="A37" s="82">
        <v>34</v>
      </c>
      <c r="B37" s="82" t="s">
        <v>622</v>
      </c>
      <c r="C37" s="96" t="s">
        <v>676</v>
      </c>
      <c r="D37" s="82" t="s">
        <v>703</v>
      </c>
      <c r="E37" s="96" t="s">
        <v>636</v>
      </c>
      <c r="F37" s="82" t="s">
        <v>310</v>
      </c>
      <c r="G37" s="82" t="s">
        <v>1646</v>
      </c>
      <c r="H37" s="84" t="s">
        <v>416</v>
      </c>
      <c r="I37" s="84">
        <v>-1</v>
      </c>
      <c r="J37" s="84">
        <v>1</v>
      </c>
      <c r="K37" s="82" t="s">
        <v>1646</v>
      </c>
      <c r="L37" s="82" t="s">
        <v>1646</v>
      </c>
      <c r="M37" s="112" t="s">
        <v>704</v>
      </c>
      <c r="O37" s="90"/>
    </row>
    <row r="38" spans="1:15" ht="46.5" outlineLevel="1" x14ac:dyDescent="0.35">
      <c r="A38" s="82">
        <v>35</v>
      </c>
      <c r="B38" s="82" t="s">
        <v>622</v>
      </c>
      <c r="C38" s="96" t="s">
        <v>676</v>
      </c>
      <c r="D38" s="82" t="s">
        <v>705</v>
      </c>
      <c r="E38" s="96" t="s">
        <v>669</v>
      </c>
      <c r="F38" s="82" t="s">
        <v>310</v>
      </c>
      <c r="G38" s="82" t="s">
        <v>1646</v>
      </c>
      <c r="H38" s="84" t="s">
        <v>416</v>
      </c>
      <c r="I38" s="84">
        <v>1E-3</v>
      </c>
      <c r="J38" s="84">
        <v>1</v>
      </c>
      <c r="K38" s="82" t="s">
        <v>1646</v>
      </c>
      <c r="L38" s="82" t="s">
        <v>1646</v>
      </c>
      <c r="M38" s="112" t="s">
        <v>682</v>
      </c>
      <c r="O38" s="90"/>
    </row>
    <row r="39" spans="1:15" ht="31" outlineLevel="1" x14ac:dyDescent="0.35">
      <c r="A39" s="82">
        <v>36</v>
      </c>
      <c r="B39" s="82" t="s">
        <v>622</v>
      </c>
      <c r="C39" s="96" t="s">
        <v>676</v>
      </c>
      <c r="D39" s="82" t="s">
        <v>706</v>
      </c>
      <c r="E39" s="96" t="s">
        <v>671</v>
      </c>
      <c r="F39" s="82" t="s">
        <v>310</v>
      </c>
      <c r="G39" s="82" t="s">
        <v>1646</v>
      </c>
      <c r="H39" s="84" t="s">
        <v>416</v>
      </c>
      <c r="I39" s="84">
        <v>1E-3</v>
      </c>
      <c r="J39" s="84">
        <v>1</v>
      </c>
      <c r="K39" s="82" t="s">
        <v>1646</v>
      </c>
      <c r="L39" s="82" t="s">
        <v>1646</v>
      </c>
      <c r="M39" s="112" t="s">
        <v>707</v>
      </c>
      <c r="O39" s="90"/>
    </row>
    <row r="40" spans="1:15" ht="46.5" outlineLevel="1" x14ac:dyDescent="0.35">
      <c r="A40" s="82">
        <v>37</v>
      </c>
      <c r="B40" s="82" t="s">
        <v>622</v>
      </c>
      <c r="C40" s="96" t="s">
        <v>676</v>
      </c>
      <c r="D40" s="82" t="s">
        <v>708</v>
      </c>
      <c r="E40" s="96" t="s">
        <v>674</v>
      </c>
      <c r="F40" s="82" t="s">
        <v>310</v>
      </c>
      <c r="G40" s="158">
        <v>51.014110000000002</v>
      </c>
      <c r="H40" s="93">
        <v>0.34599999999999997</v>
      </c>
      <c r="I40" s="84">
        <v>1E-3</v>
      </c>
      <c r="J40" s="84">
        <v>1</v>
      </c>
      <c r="K40" s="85" t="s">
        <v>1648</v>
      </c>
      <c r="L40" s="83">
        <v>117</v>
      </c>
      <c r="M40" s="112" t="s">
        <v>709</v>
      </c>
      <c r="O40" s="90"/>
    </row>
    <row r="41" spans="1:15" ht="62" outlineLevel="1" x14ac:dyDescent="0.35">
      <c r="A41" s="82">
        <v>38</v>
      </c>
      <c r="B41" s="82" t="s">
        <v>622</v>
      </c>
      <c r="C41" s="96" t="s">
        <v>710</v>
      </c>
      <c r="D41" s="82" t="s">
        <v>711</v>
      </c>
      <c r="E41" s="96" t="s">
        <v>633</v>
      </c>
      <c r="F41" s="82" t="s">
        <v>310</v>
      </c>
      <c r="G41" s="159">
        <v>1.529767063188707</v>
      </c>
      <c r="H41" s="93">
        <v>3.2599999999999997E-2</v>
      </c>
      <c r="I41" s="84">
        <v>0</v>
      </c>
      <c r="J41" s="84">
        <f>1</f>
        <v>1</v>
      </c>
      <c r="K41" s="85" t="s">
        <v>1648</v>
      </c>
      <c r="L41" s="83">
        <v>114</v>
      </c>
      <c r="M41" s="112" t="s">
        <v>712</v>
      </c>
      <c r="O41" s="90"/>
    </row>
    <row r="42" spans="1:15" ht="46.5" outlineLevel="1" x14ac:dyDescent="0.35">
      <c r="A42" s="82">
        <v>39</v>
      </c>
      <c r="B42" s="82" t="s">
        <v>622</v>
      </c>
      <c r="C42" s="96" t="s">
        <v>710</v>
      </c>
      <c r="D42" s="82" t="s">
        <v>713</v>
      </c>
      <c r="E42" s="96" t="s">
        <v>636</v>
      </c>
      <c r="F42" s="82" t="s">
        <v>310</v>
      </c>
      <c r="G42" s="158">
        <v>1.2269E-2</v>
      </c>
      <c r="H42" s="93">
        <f>0.0037+0.0326</f>
        <v>3.6299999999999999E-2</v>
      </c>
      <c r="I42" s="84">
        <v>-1</v>
      </c>
      <c r="J42" s="84">
        <v>1</v>
      </c>
      <c r="K42" s="85" t="s">
        <v>1648</v>
      </c>
      <c r="L42" s="83">
        <v>114</v>
      </c>
      <c r="M42" s="112" t="s">
        <v>714</v>
      </c>
      <c r="O42" s="90"/>
    </row>
    <row r="43" spans="1:15" ht="46.5" outlineLevel="1" x14ac:dyDescent="0.35">
      <c r="A43" s="82">
        <v>40</v>
      </c>
      <c r="B43" s="82" t="s">
        <v>622</v>
      </c>
      <c r="C43" s="96" t="s">
        <v>710</v>
      </c>
      <c r="D43" s="82" t="s">
        <v>715</v>
      </c>
      <c r="E43" s="96" t="s">
        <v>640</v>
      </c>
      <c r="F43" s="82" t="s">
        <v>310</v>
      </c>
      <c r="G43" s="158">
        <v>0.24295600000000001</v>
      </c>
      <c r="H43" s="93">
        <v>0.27</v>
      </c>
      <c r="I43" s="84">
        <v>0</v>
      </c>
      <c r="J43" s="84">
        <v>1</v>
      </c>
      <c r="K43" s="85" t="s">
        <v>1648</v>
      </c>
      <c r="L43" s="83">
        <v>114</v>
      </c>
      <c r="M43" s="112" t="s">
        <v>716</v>
      </c>
      <c r="O43" s="90"/>
    </row>
    <row r="44" spans="1:15" ht="46.5" outlineLevel="1" x14ac:dyDescent="0.35">
      <c r="A44" s="82">
        <v>41</v>
      </c>
      <c r="B44" s="82" t="s">
        <v>622</v>
      </c>
      <c r="C44" s="96" t="s">
        <v>710</v>
      </c>
      <c r="D44" s="82" t="s">
        <v>717</v>
      </c>
      <c r="E44" s="96" t="s">
        <v>643</v>
      </c>
      <c r="F44" s="82" t="s">
        <v>310</v>
      </c>
      <c r="G44" s="158">
        <v>0.27635700000000002</v>
      </c>
      <c r="H44" s="93">
        <v>0.27329999999999999</v>
      </c>
      <c r="I44" s="84">
        <v>0</v>
      </c>
      <c r="J44" s="84">
        <v>1</v>
      </c>
      <c r="K44" s="85" t="s">
        <v>1648</v>
      </c>
      <c r="L44" s="83">
        <v>114</v>
      </c>
      <c r="M44" s="112" t="s">
        <v>718</v>
      </c>
      <c r="O44" s="90"/>
    </row>
    <row r="45" spans="1:15" ht="46.5" outlineLevel="1" x14ac:dyDescent="0.35">
      <c r="A45" s="82">
        <v>42</v>
      </c>
      <c r="B45" s="82" t="s">
        <v>622</v>
      </c>
      <c r="C45" s="96" t="s">
        <v>710</v>
      </c>
      <c r="D45" s="82" t="s">
        <v>719</v>
      </c>
      <c r="E45" s="96" t="s">
        <v>646</v>
      </c>
      <c r="F45" s="82" t="s">
        <v>300</v>
      </c>
      <c r="G45" s="159">
        <v>0.36975011665312563</v>
      </c>
      <c r="H45" s="93">
        <v>0.26929999999999998</v>
      </c>
      <c r="I45" s="84">
        <v>90</v>
      </c>
      <c r="J45" s="84">
        <v>90</v>
      </c>
      <c r="K45" s="85" t="s">
        <v>1648</v>
      </c>
      <c r="L45" s="83">
        <v>114</v>
      </c>
      <c r="M45" s="112" t="s">
        <v>720</v>
      </c>
      <c r="O45" s="90"/>
    </row>
    <row r="46" spans="1:15" ht="62" outlineLevel="1" x14ac:dyDescent="0.35">
      <c r="A46" s="82">
        <v>43</v>
      </c>
      <c r="B46" s="82" t="s">
        <v>622</v>
      </c>
      <c r="C46" s="96" t="s">
        <v>710</v>
      </c>
      <c r="D46" s="82" t="s">
        <v>721</v>
      </c>
      <c r="E46" s="96" t="s">
        <v>633</v>
      </c>
      <c r="F46" s="82" t="s">
        <v>310</v>
      </c>
      <c r="G46" s="158">
        <v>4.9184299999999999</v>
      </c>
      <c r="H46" s="83">
        <v>0.04</v>
      </c>
      <c r="I46" s="84">
        <v>0</v>
      </c>
      <c r="J46" s="84">
        <v>1</v>
      </c>
      <c r="K46" s="85" t="s">
        <v>1648</v>
      </c>
      <c r="L46" s="83">
        <v>116</v>
      </c>
      <c r="M46" s="112" t="s">
        <v>722</v>
      </c>
      <c r="O46" s="90"/>
    </row>
    <row r="47" spans="1:15" ht="31" outlineLevel="1" x14ac:dyDescent="0.35">
      <c r="A47" s="82">
        <v>44</v>
      </c>
      <c r="B47" s="82" t="s">
        <v>622</v>
      </c>
      <c r="C47" s="96" t="s">
        <v>710</v>
      </c>
      <c r="D47" s="82" t="s">
        <v>723</v>
      </c>
      <c r="E47" s="96" t="s">
        <v>636</v>
      </c>
      <c r="F47" s="82" t="s">
        <v>310</v>
      </c>
      <c r="G47" s="158">
        <v>0.248249</v>
      </c>
      <c r="H47" s="83">
        <f>0.003+0.037</f>
        <v>0.04</v>
      </c>
      <c r="I47" s="84">
        <v>-1</v>
      </c>
      <c r="J47" s="84">
        <v>1</v>
      </c>
      <c r="K47" s="85" t="s">
        <v>1648</v>
      </c>
      <c r="L47" s="83">
        <v>116</v>
      </c>
      <c r="M47" s="112" t="s">
        <v>724</v>
      </c>
      <c r="O47" s="90"/>
    </row>
    <row r="48" spans="1:15" ht="46.5" outlineLevel="1" x14ac:dyDescent="0.35">
      <c r="A48" s="82">
        <v>45</v>
      </c>
      <c r="B48" s="82" t="s">
        <v>622</v>
      </c>
      <c r="C48" s="96" t="s">
        <v>710</v>
      </c>
      <c r="D48" s="82" t="s">
        <v>725</v>
      </c>
      <c r="E48" s="96" t="s">
        <v>653</v>
      </c>
      <c r="F48" s="82" t="s">
        <v>310</v>
      </c>
      <c r="G48" s="158">
        <v>0.31263299999999999</v>
      </c>
      <c r="H48" s="107">
        <v>0.94840000000000002</v>
      </c>
      <c r="I48" s="84">
        <v>1E-3</v>
      </c>
      <c r="J48" s="84">
        <v>1</v>
      </c>
      <c r="K48" s="85" t="s">
        <v>1648</v>
      </c>
      <c r="L48" s="83">
        <v>116</v>
      </c>
      <c r="M48" s="112" t="s">
        <v>726</v>
      </c>
      <c r="O48" s="90"/>
    </row>
    <row r="49" spans="1:15" ht="31" outlineLevel="1" x14ac:dyDescent="0.35">
      <c r="A49" s="82">
        <v>46</v>
      </c>
      <c r="B49" s="82" t="s">
        <v>622</v>
      </c>
      <c r="C49" s="96" t="s">
        <v>710</v>
      </c>
      <c r="D49" s="82" t="s">
        <v>727</v>
      </c>
      <c r="E49" s="96" t="s">
        <v>656</v>
      </c>
      <c r="F49" s="82" t="s">
        <v>310</v>
      </c>
      <c r="G49" s="158">
        <v>0.96130300000000002</v>
      </c>
      <c r="H49" s="108">
        <v>0.94689999999999996</v>
      </c>
      <c r="I49" s="84">
        <v>1E-3</v>
      </c>
      <c r="J49" s="84">
        <v>1</v>
      </c>
      <c r="K49" s="85" t="s">
        <v>1648</v>
      </c>
      <c r="L49" s="83">
        <v>116</v>
      </c>
      <c r="M49" s="112" t="s">
        <v>728</v>
      </c>
      <c r="O49" s="90"/>
    </row>
    <row r="50" spans="1:15" ht="46.5" outlineLevel="1" x14ac:dyDescent="0.35">
      <c r="A50" s="82">
        <v>47</v>
      </c>
      <c r="B50" s="82" t="s">
        <v>622</v>
      </c>
      <c r="C50" s="96" t="s">
        <v>710</v>
      </c>
      <c r="D50" s="82" t="s">
        <v>729</v>
      </c>
      <c r="E50" s="96" t="s">
        <v>646</v>
      </c>
      <c r="F50" s="82" t="s">
        <v>300</v>
      </c>
      <c r="G50" s="159">
        <v>1.0122105853200709</v>
      </c>
      <c r="H50" s="160">
        <v>0.95140000000000002</v>
      </c>
      <c r="I50" s="84">
        <v>90</v>
      </c>
      <c r="J50" s="84">
        <v>90</v>
      </c>
      <c r="K50" s="85" t="s">
        <v>1648</v>
      </c>
      <c r="L50" s="83">
        <v>116</v>
      </c>
      <c r="M50" s="112" t="s">
        <v>730</v>
      </c>
      <c r="O50" s="90"/>
    </row>
    <row r="51" spans="1:15" ht="62" outlineLevel="1" x14ac:dyDescent="0.35">
      <c r="A51" s="82">
        <v>48</v>
      </c>
      <c r="B51" s="82" t="s">
        <v>622</v>
      </c>
      <c r="C51" s="96" t="s">
        <v>710</v>
      </c>
      <c r="D51" s="82" t="s">
        <v>731</v>
      </c>
      <c r="E51" s="96" t="s">
        <v>633</v>
      </c>
      <c r="F51" s="82" t="s">
        <v>310</v>
      </c>
      <c r="G51" s="158">
        <v>67.495999999999995</v>
      </c>
      <c r="H51" s="83">
        <v>0.3</v>
      </c>
      <c r="I51" s="84">
        <v>0</v>
      </c>
      <c r="J51" s="84">
        <v>1</v>
      </c>
      <c r="K51" s="85" t="s">
        <v>1648</v>
      </c>
      <c r="L51" s="83">
        <v>115</v>
      </c>
      <c r="M51" s="112" t="s">
        <v>732</v>
      </c>
      <c r="O51" s="90"/>
    </row>
    <row r="52" spans="1:15" ht="31" outlineLevel="1" x14ac:dyDescent="0.35">
      <c r="A52" s="82">
        <v>49</v>
      </c>
      <c r="B52" s="82" t="s">
        <v>622</v>
      </c>
      <c r="C52" s="96" t="s">
        <v>710</v>
      </c>
      <c r="D52" s="82" t="s">
        <v>733</v>
      </c>
      <c r="E52" s="96" t="s">
        <v>636</v>
      </c>
      <c r="F52" s="82" t="s">
        <v>310</v>
      </c>
      <c r="G52" s="158">
        <v>0.27495000000000003</v>
      </c>
      <c r="H52" s="83">
        <f>0.79+0.3</f>
        <v>1.0900000000000001</v>
      </c>
      <c r="I52" s="84">
        <v>-1</v>
      </c>
      <c r="J52" s="84">
        <v>1</v>
      </c>
      <c r="K52" s="85" t="s">
        <v>1648</v>
      </c>
      <c r="L52" s="83">
        <v>115</v>
      </c>
      <c r="M52" s="112" t="s">
        <v>734</v>
      </c>
      <c r="O52" s="90"/>
    </row>
    <row r="53" spans="1:15" ht="62" outlineLevel="1" x14ac:dyDescent="0.35">
      <c r="A53" s="82">
        <v>50</v>
      </c>
      <c r="B53" s="82" t="s">
        <v>622</v>
      </c>
      <c r="C53" s="96" t="s">
        <v>710</v>
      </c>
      <c r="D53" s="82" t="s">
        <v>735</v>
      </c>
      <c r="E53" s="96" t="s">
        <v>633</v>
      </c>
      <c r="F53" s="82" t="s">
        <v>310</v>
      </c>
      <c r="G53" s="83" t="s">
        <v>416</v>
      </c>
      <c r="H53" s="84" t="s">
        <v>416</v>
      </c>
      <c r="I53" s="84">
        <v>0</v>
      </c>
      <c r="J53" s="84">
        <v>1</v>
      </c>
      <c r="K53" s="85" t="s">
        <v>1648</v>
      </c>
      <c r="L53" s="83" t="s">
        <v>551</v>
      </c>
      <c r="M53" s="112" t="s">
        <v>736</v>
      </c>
      <c r="O53" s="90"/>
    </row>
    <row r="54" spans="1:15" ht="31" outlineLevel="1" x14ac:dyDescent="0.35">
      <c r="A54" s="82">
        <v>51</v>
      </c>
      <c r="B54" s="82" t="s">
        <v>622</v>
      </c>
      <c r="C54" s="96" t="s">
        <v>710</v>
      </c>
      <c r="D54" s="82" t="s">
        <v>737</v>
      </c>
      <c r="E54" s="96" t="s">
        <v>636</v>
      </c>
      <c r="F54" s="82" t="s">
        <v>310</v>
      </c>
      <c r="G54" s="83" t="s">
        <v>416</v>
      </c>
      <c r="H54" s="84" t="s">
        <v>416</v>
      </c>
      <c r="I54" s="84">
        <v>-1</v>
      </c>
      <c r="J54" s="84">
        <v>1</v>
      </c>
      <c r="K54" s="85" t="s">
        <v>1648</v>
      </c>
      <c r="L54" s="83" t="s">
        <v>637</v>
      </c>
      <c r="M54" s="112" t="s">
        <v>738</v>
      </c>
      <c r="O54" s="90"/>
    </row>
    <row r="55" spans="1:15" ht="46.5" outlineLevel="1" x14ac:dyDescent="0.35">
      <c r="A55" s="82">
        <v>52</v>
      </c>
      <c r="B55" s="82" t="s">
        <v>622</v>
      </c>
      <c r="C55" s="96" t="s">
        <v>710</v>
      </c>
      <c r="D55" s="82" t="s">
        <v>739</v>
      </c>
      <c r="E55" s="96" t="s">
        <v>669</v>
      </c>
      <c r="F55" s="82" t="s">
        <v>310</v>
      </c>
      <c r="G55" s="83" t="s">
        <v>416</v>
      </c>
      <c r="H55" s="84" t="s">
        <v>416</v>
      </c>
      <c r="I55" s="84">
        <v>1E-3</v>
      </c>
      <c r="J55" s="84">
        <v>1</v>
      </c>
      <c r="K55" s="85" t="s">
        <v>1648</v>
      </c>
      <c r="L55" s="83"/>
      <c r="M55" s="112" t="s">
        <v>716</v>
      </c>
      <c r="O55" s="90"/>
    </row>
    <row r="56" spans="1:15" ht="31" outlineLevel="1" x14ac:dyDescent="0.35">
      <c r="A56" s="82">
        <v>53</v>
      </c>
      <c r="B56" s="82" t="s">
        <v>622</v>
      </c>
      <c r="C56" s="96" t="s">
        <v>710</v>
      </c>
      <c r="D56" s="82" t="s">
        <v>740</v>
      </c>
      <c r="E56" s="96" t="s">
        <v>671</v>
      </c>
      <c r="F56" s="82" t="s">
        <v>310</v>
      </c>
      <c r="G56" s="83" t="s">
        <v>416</v>
      </c>
      <c r="H56" s="84" t="s">
        <v>416</v>
      </c>
      <c r="I56" s="84">
        <v>1E-3</v>
      </c>
      <c r="J56" s="84">
        <v>1</v>
      </c>
      <c r="K56" s="85" t="s">
        <v>1648</v>
      </c>
      <c r="L56" s="83" t="s">
        <v>416</v>
      </c>
      <c r="M56" s="112" t="s">
        <v>741</v>
      </c>
      <c r="O56" s="90"/>
    </row>
    <row r="57" spans="1:15" ht="46.5" outlineLevel="1" x14ac:dyDescent="0.35">
      <c r="A57" s="82">
        <v>54</v>
      </c>
      <c r="B57" s="82" t="s">
        <v>622</v>
      </c>
      <c r="C57" s="96" t="s">
        <v>710</v>
      </c>
      <c r="D57" s="82" t="s">
        <v>742</v>
      </c>
      <c r="E57" s="96" t="s">
        <v>674</v>
      </c>
      <c r="F57" s="82" t="s">
        <v>310</v>
      </c>
      <c r="G57" s="158">
        <v>37.798000000000002</v>
      </c>
      <c r="H57" s="93">
        <v>0.1719</v>
      </c>
      <c r="I57" s="84">
        <v>1E-3</v>
      </c>
      <c r="J57" s="84">
        <v>1</v>
      </c>
      <c r="K57" s="85" t="s">
        <v>1648</v>
      </c>
      <c r="L57" s="83">
        <v>113</v>
      </c>
      <c r="M57" s="112" t="s">
        <v>743</v>
      </c>
      <c r="O57" s="90"/>
    </row>
    <row r="58" spans="1:15" ht="46.5" x14ac:dyDescent="0.35">
      <c r="A58" s="82">
        <v>55</v>
      </c>
      <c r="B58" s="87" t="s">
        <v>622</v>
      </c>
      <c r="C58" s="96" t="s">
        <v>631</v>
      </c>
      <c r="D58" s="87" t="s">
        <v>744</v>
      </c>
      <c r="E58" s="96" t="s">
        <v>745</v>
      </c>
      <c r="F58" s="87" t="s">
        <v>310</v>
      </c>
      <c r="G58" s="105" t="s">
        <v>416</v>
      </c>
      <c r="H58" s="94">
        <v>-3.5000000000000003E-2</v>
      </c>
      <c r="I58" s="84">
        <v>0</v>
      </c>
      <c r="J58" s="84">
        <v>1</v>
      </c>
      <c r="K58" s="85"/>
      <c r="L58" s="83" t="s">
        <v>561</v>
      </c>
      <c r="M58" s="112" t="s">
        <v>746</v>
      </c>
      <c r="O58" s="90"/>
    </row>
    <row r="59" spans="1:15" ht="46.5" outlineLevel="1" x14ac:dyDescent="0.35">
      <c r="A59" s="82">
        <v>56</v>
      </c>
      <c r="B59" s="87" t="s">
        <v>622</v>
      </c>
      <c r="C59" s="96" t="s">
        <v>631</v>
      </c>
      <c r="D59" s="87" t="s">
        <v>747</v>
      </c>
      <c r="E59" s="96" t="s">
        <v>748</v>
      </c>
      <c r="F59" s="87" t="s">
        <v>310</v>
      </c>
      <c r="G59" s="105" t="s">
        <v>416</v>
      </c>
      <c r="H59" s="94">
        <v>-0.22</v>
      </c>
      <c r="I59" s="84">
        <v>-1</v>
      </c>
      <c r="J59" s="84">
        <v>0</v>
      </c>
      <c r="K59" s="85"/>
      <c r="L59" s="83" t="s">
        <v>561</v>
      </c>
      <c r="M59" s="86" t="s">
        <v>749</v>
      </c>
      <c r="O59" s="90"/>
    </row>
    <row r="60" spans="1:15" s="95" customFormat="1" ht="31" outlineLevel="1" x14ac:dyDescent="0.35">
      <c r="A60" s="82">
        <v>57</v>
      </c>
      <c r="B60" s="96" t="s">
        <v>622</v>
      </c>
      <c r="C60" s="96" t="s">
        <v>631</v>
      </c>
      <c r="D60" s="96" t="s">
        <v>750</v>
      </c>
      <c r="E60" s="96" t="s">
        <v>653</v>
      </c>
      <c r="F60" s="96" t="s">
        <v>310</v>
      </c>
      <c r="G60" s="105" t="s">
        <v>416</v>
      </c>
      <c r="H60" s="93">
        <v>0.35</v>
      </c>
      <c r="I60" s="104">
        <v>1E-3</v>
      </c>
      <c r="J60" s="104">
        <v>1</v>
      </c>
      <c r="K60" s="119"/>
      <c r="L60" s="107"/>
      <c r="M60" s="112" t="s">
        <v>751</v>
      </c>
      <c r="N60" s="82"/>
      <c r="O60" s="120"/>
    </row>
    <row r="61" spans="1:15" ht="31.5" customHeight="1" outlineLevel="1" x14ac:dyDescent="0.35">
      <c r="A61" s="82">
        <v>58</v>
      </c>
      <c r="B61" s="87" t="s">
        <v>622</v>
      </c>
      <c r="C61" s="96" t="s">
        <v>631</v>
      </c>
      <c r="D61" s="87" t="s">
        <v>752</v>
      </c>
      <c r="E61" s="96" t="s">
        <v>753</v>
      </c>
      <c r="F61" s="87" t="s">
        <v>310</v>
      </c>
      <c r="G61" s="105" t="s">
        <v>416</v>
      </c>
      <c r="H61" s="93">
        <v>0.28000000000000003</v>
      </c>
      <c r="I61" s="84">
        <v>0</v>
      </c>
      <c r="J61" s="84">
        <v>1</v>
      </c>
      <c r="K61" s="85"/>
      <c r="L61" s="83" t="s">
        <v>561</v>
      </c>
      <c r="M61" s="112" t="s">
        <v>754</v>
      </c>
      <c r="O61" s="90"/>
    </row>
    <row r="62" spans="1:15" ht="37.5" customHeight="1" outlineLevel="1" x14ac:dyDescent="0.35">
      <c r="A62" s="82">
        <v>59</v>
      </c>
      <c r="B62" s="87" t="s">
        <v>622</v>
      </c>
      <c r="C62" s="96" t="s">
        <v>631</v>
      </c>
      <c r="D62" s="87" t="s">
        <v>755</v>
      </c>
      <c r="E62" s="96" t="s">
        <v>636</v>
      </c>
      <c r="F62" s="87" t="s">
        <v>310</v>
      </c>
      <c r="G62" s="105" t="s">
        <v>416</v>
      </c>
      <c r="H62" s="93">
        <f>0.001+0.42</f>
        <v>0.42099999999999999</v>
      </c>
      <c r="I62" s="84">
        <v>-1</v>
      </c>
      <c r="J62" s="84">
        <v>1</v>
      </c>
      <c r="K62" s="85" t="s">
        <v>624</v>
      </c>
      <c r="L62" s="83" t="s">
        <v>637</v>
      </c>
      <c r="M62" s="110" t="s">
        <v>756</v>
      </c>
      <c r="O62" s="90"/>
    </row>
    <row r="63" spans="1:15" ht="37.5" customHeight="1" outlineLevel="1" x14ac:dyDescent="0.35">
      <c r="A63" s="82">
        <v>60</v>
      </c>
      <c r="B63" s="87" t="s">
        <v>622</v>
      </c>
      <c r="C63" s="96" t="s">
        <v>631</v>
      </c>
      <c r="D63" s="87" t="s">
        <v>757</v>
      </c>
      <c r="E63" s="96" t="s">
        <v>745</v>
      </c>
      <c r="F63" s="87" t="s">
        <v>310</v>
      </c>
      <c r="G63" s="105" t="s">
        <v>416</v>
      </c>
      <c r="H63" s="94">
        <v>0.27</v>
      </c>
      <c r="I63" s="84">
        <v>0</v>
      </c>
      <c r="J63" s="84">
        <v>1</v>
      </c>
      <c r="K63" s="85"/>
      <c r="L63" s="83"/>
      <c r="M63" s="112" t="s">
        <v>746</v>
      </c>
      <c r="O63" s="90"/>
    </row>
    <row r="64" spans="1:15" ht="37.5" customHeight="1" outlineLevel="1" x14ac:dyDescent="0.35">
      <c r="A64" s="82">
        <v>61</v>
      </c>
      <c r="B64" s="87" t="s">
        <v>622</v>
      </c>
      <c r="C64" s="96" t="s">
        <v>631</v>
      </c>
      <c r="D64" s="87" t="s">
        <v>758</v>
      </c>
      <c r="E64" s="96" t="s">
        <v>748</v>
      </c>
      <c r="F64" s="87" t="s">
        <v>310</v>
      </c>
      <c r="G64" s="105" t="s">
        <v>416</v>
      </c>
      <c r="H64" s="94">
        <v>-0.53</v>
      </c>
      <c r="I64" s="84">
        <v>-1</v>
      </c>
      <c r="J64" s="84">
        <v>0</v>
      </c>
      <c r="K64" s="85"/>
      <c r="L64" s="83"/>
      <c r="M64" s="110"/>
      <c r="O64" s="90"/>
    </row>
    <row r="65" spans="1:15" ht="37.5" customHeight="1" outlineLevel="1" x14ac:dyDescent="0.35">
      <c r="A65" s="82">
        <v>62</v>
      </c>
      <c r="B65" s="87" t="s">
        <v>622</v>
      </c>
      <c r="C65" s="96" t="s">
        <v>631</v>
      </c>
      <c r="D65" s="87" t="s">
        <v>759</v>
      </c>
      <c r="E65" s="96" t="s">
        <v>636</v>
      </c>
      <c r="F65" s="87" t="s">
        <v>310</v>
      </c>
      <c r="G65" s="105" t="s">
        <v>416</v>
      </c>
      <c r="H65" s="94">
        <f>0.79+0.24</f>
        <v>1.03</v>
      </c>
      <c r="I65" s="84">
        <v>-1</v>
      </c>
      <c r="J65" s="84">
        <v>1</v>
      </c>
      <c r="K65" s="85" t="s">
        <v>624</v>
      </c>
      <c r="L65" s="83" t="s">
        <v>637</v>
      </c>
      <c r="M65" s="110"/>
      <c r="O65" s="90"/>
    </row>
    <row r="66" spans="1:15" ht="37.5" customHeight="1" outlineLevel="1" x14ac:dyDescent="0.35">
      <c r="A66" s="82">
        <v>63</v>
      </c>
      <c r="B66" s="87" t="s">
        <v>622</v>
      </c>
      <c r="C66" s="96" t="s">
        <v>631</v>
      </c>
      <c r="D66" s="87" t="s">
        <v>760</v>
      </c>
      <c r="E66" s="96" t="s">
        <v>636</v>
      </c>
      <c r="F66" s="87" t="s">
        <v>310</v>
      </c>
      <c r="G66" s="105" t="s">
        <v>416</v>
      </c>
      <c r="H66" s="94">
        <f>0.0042+0.3318</f>
        <v>0.33599999999999997</v>
      </c>
      <c r="I66" s="84">
        <v>-1</v>
      </c>
      <c r="J66" s="84">
        <v>1</v>
      </c>
      <c r="K66" s="85" t="s">
        <v>624</v>
      </c>
      <c r="L66" s="83" t="s">
        <v>637</v>
      </c>
      <c r="M66" s="110"/>
      <c r="O66" s="90"/>
    </row>
    <row r="67" spans="1:15" ht="37.5" customHeight="1" outlineLevel="1" x14ac:dyDescent="0.35">
      <c r="A67" s="82">
        <v>64</v>
      </c>
      <c r="B67" s="87" t="s">
        <v>622</v>
      </c>
      <c r="C67" s="96" t="s">
        <v>631</v>
      </c>
      <c r="D67" s="87" t="s">
        <v>761</v>
      </c>
      <c r="E67" s="96" t="s">
        <v>745</v>
      </c>
      <c r="F67" s="87" t="s">
        <v>310</v>
      </c>
      <c r="G67" s="105" t="s">
        <v>416</v>
      </c>
      <c r="H67" s="105" t="s">
        <v>416</v>
      </c>
      <c r="I67" s="84">
        <v>0</v>
      </c>
      <c r="J67" s="84">
        <v>1</v>
      </c>
      <c r="K67" s="85"/>
      <c r="L67" s="83"/>
      <c r="M67" s="112" t="s">
        <v>746</v>
      </c>
      <c r="O67" s="90"/>
    </row>
    <row r="68" spans="1:15" ht="37.5" customHeight="1" outlineLevel="1" x14ac:dyDescent="0.35">
      <c r="A68" s="82">
        <v>65</v>
      </c>
      <c r="B68" s="87" t="s">
        <v>622</v>
      </c>
      <c r="C68" s="96" t="s">
        <v>631</v>
      </c>
      <c r="D68" s="87" t="s">
        <v>762</v>
      </c>
      <c r="E68" s="96" t="s">
        <v>748</v>
      </c>
      <c r="F68" s="87" t="s">
        <v>310</v>
      </c>
      <c r="G68" s="105" t="s">
        <v>416</v>
      </c>
      <c r="H68" s="105" t="s">
        <v>416</v>
      </c>
      <c r="I68" s="84">
        <v>-1</v>
      </c>
      <c r="J68" s="84">
        <v>0</v>
      </c>
      <c r="K68" s="85"/>
      <c r="L68" s="83"/>
      <c r="M68" s="110"/>
      <c r="O68" s="90"/>
    </row>
    <row r="69" spans="1:15" ht="37.5" customHeight="1" outlineLevel="1" x14ac:dyDescent="0.35">
      <c r="A69" s="82">
        <v>66</v>
      </c>
      <c r="B69" s="87" t="s">
        <v>622</v>
      </c>
      <c r="C69" s="96" t="s">
        <v>631</v>
      </c>
      <c r="D69" s="87" t="s">
        <v>763</v>
      </c>
      <c r="E69" s="96" t="s">
        <v>669</v>
      </c>
      <c r="F69" s="87" t="s">
        <v>310</v>
      </c>
      <c r="G69" s="105" t="s">
        <v>416</v>
      </c>
      <c r="H69" s="105" t="s">
        <v>416</v>
      </c>
      <c r="I69" s="84">
        <v>1E-3</v>
      </c>
      <c r="J69" s="84">
        <v>1</v>
      </c>
      <c r="K69" s="85"/>
      <c r="L69" s="83"/>
      <c r="M69" s="112" t="s">
        <v>764</v>
      </c>
      <c r="O69" s="90"/>
    </row>
    <row r="70" spans="1:15" ht="37.5" customHeight="1" outlineLevel="1" x14ac:dyDescent="0.35">
      <c r="A70" s="82">
        <v>67</v>
      </c>
      <c r="B70" s="87" t="s">
        <v>622</v>
      </c>
      <c r="C70" s="96" t="s">
        <v>631</v>
      </c>
      <c r="D70" s="87" t="s">
        <v>765</v>
      </c>
      <c r="E70" s="96" t="s">
        <v>636</v>
      </c>
      <c r="F70" s="87" t="s">
        <v>310</v>
      </c>
      <c r="G70" s="105" t="s">
        <v>416</v>
      </c>
      <c r="H70" s="105" t="s">
        <v>416</v>
      </c>
      <c r="I70" s="84">
        <v>-1</v>
      </c>
      <c r="J70" s="84">
        <v>1</v>
      </c>
      <c r="K70" s="85" t="s">
        <v>624</v>
      </c>
      <c r="L70" s="83" t="s">
        <v>637</v>
      </c>
      <c r="M70" s="110"/>
      <c r="O70" s="90"/>
    </row>
    <row r="71" spans="1:15" ht="37.5" customHeight="1" outlineLevel="1" x14ac:dyDescent="0.35">
      <c r="A71" s="82">
        <v>68</v>
      </c>
      <c r="B71" s="87" t="s">
        <v>622</v>
      </c>
      <c r="C71" s="96" t="s">
        <v>631</v>
      </c>
      <c r="D71" s="87" t="s">
        <v>766</v>
      </c>
      <c r="E71" s="96" t="s">
        <v>745</v>
      </c>
      <c r="F71" s="87" t="s">
        <v>310</v>
      </c>
      <c r="G71" s="105" t="s">
        <v>416</v>
      </c>
      <c r="H71" s="94">
        <v>1.095</v>
      </c>
      <c r="I71" s="84">
        <v>0</v>
      </c>
      <c r="J71" s="84">
        <v>1</v>
      </c>
      <c r="K71" s="85"/>
      <c r="L71" s="83"/>
      <c r="M71" s="112" t="s">
        <v>746</v>
      </c>
      <c r="O71" s="90"/>
    </row>
    <row r="72" spans="1:15" ht="37.5" customHeight="1" outlineLevel="1" x14ac:dyDescent="0.35">
      <c r="A72" s="82">
        <v>69</v>
      </c>
      <c r="B72" s="87" t="s">
        <v>622</v>
      </c>
      <c r="C72" s="96" t="s">
        <v>631</v>
      </c>
      <c r="D72" s="87" t="s">
        <v>767</v>
      </c>
      <c r="E72" s="96" t="s">
        <v>748</v>
      </c>
      <c r="F72" s="87" t="s">
        <v>310</v>
      </c>
      <c r="G72" s="105" t="s">
        <v>416</v>
      </c>
      <c r="H72" s="94">
        <v>0.30959999999999999</v>
      </c>
      <c r="I72" s="84">
        <v>-1</v>
      </c>
      <c r="J72" s="84">
        <v>0</v>
      </c>
      <c r="K72" s="85"/>
      <c r="L72" s="83"/>
      <c r="M72" s="110"/>
      <c r="O72" s="90"/>
    </row>
    <row r="73" spans="1:15" ht="37.5" customHeight="1" outlineLevel="1" x14ac:dyDescent="0.35">
      <c r="A73" s="82">
        <v>70</v>
      </c>
      <c r="B73" s="87" t="s">
        <v>622</v>
      </c>
      <c r="C73" s="96" t="s">
        <v>631</v>
      </c>
      <c r="D73" s="87" t="s">
        <v>768</v>
      </c>
      <c r="E73" s="96" t="s">
        <v>674</v>
      </c>
      <c r="F73" s="87" t="s">
        <v>310</v>
      </c>
      <c r="G73" s="83">
        <v>1</v>
      </c>
      <c r="H73" s="94">
        <v>0.46129999999999999</v>
      </c>
      <c r="I73" s="84">
        <v>1E-3</v>
      </c>
      <c r="J73" s="84">
        <v>1</v>
      </c>
      <c r="K73" s="85"/>
      <c r="L73" s="83"/>
      <c r="M73" s="110"/>
      <c r="O73" s="90"/>
    </row>
    <row r="74" spans="1:15" s="95" customFormat="1" ht="37.5" customHeight="1" outlineLevel="1" x14ac:dyDescent="0.35">
      <c r="A74" s="82">
        <v>71</v>
      </c>
      <c r="B74" s="96" t="s">
        <v>622</v>
      </c>
      <c r="C74" s="96" t="s">
        <v>676</v>
      </c>
      <c r="D74" s="96" t="s">
        <v>769</v>
      </c>
      <c r="E74" s="96" t="s">
        <v>745</v>
      </c>
      <c r="F74" s="96" t="s">
        <v>310</v>
      </c>
      <c r="G74" s="105" t="s">
        <v>416</v>
      </c>
      <c r="H74" s="94">
        <v>-8.9999999999999993E-3</v>
      </c>
      <c r="I74" s="104">
        <v>0</v>
      </c>
      <c r="J74" s="104">
        <v>1</v>
      </c>
      <c r="K74" s="119"/>
      <c r="L74" s="107" t="s">
        <v>561</v>
      </c>
      <c r="M74" s="112" t="s">
        <v>770</v>
      </c>
      <c r="N74" s="96"/>
      <c r="O74" s="120"/>
    </row>
    <row r="75" spans="1:15" s="95" customFormat="1" ht="37.5" customHeight="1" outlineLevel="1" x14ac:dyDescent="0.35">
      <c r="A75" s="82">
        <v>72</v>
      </c>
      <c r="B75" s="96" t="s">
        <v>622</v>
      </c>
      <c r="C75" s="96" t="s">
        <v>676</v>
      </c>
      <c r="D75" s="96" t="s">
        <v>771</v>
      </c>
      <c r="E75" s="96" t="s">
        <v>748</v>
      </c>
      <c r="F75" s="96" t="s">
        <v>310</v>
      </c>
      <c r="G75" s="105" t="s">
        <v>416</v>
      </c>
      <c r="H75" s="94">
        <v>-0.11</v>
      </c>
      <c r="I75" s="104">
        <v>-1</v>
      </c>
      <c r="J75" s="104">
        <v>0</v>
      </c>
      <c r="K75" s="119"/>
      <c r="L75" s="107" t="s">
        <v>561</v>
      </c>
      <c r="M75" s="112" t="s">
        <v>772</v>
      </c>
      <c r="N75" s="96"/>
      <c r="O75" s="120"/>
    </row>
    <row r="76" spans="1:15" s="95" customFormat="1" ht="31" outlineLevel="1" x14ac:dyDescent="0.35">
      <c r="A76" s="82">
        <v>73</v>
      </c>
      <c r="B76" s="96" t="s">
        <v>622</v>
      </c>
      <c r="C76" s="96" t="s">
        <v>676</v>
      </c>
      <c r="D76" s="96" t="s">
        <v>773</v>
      </c>
      <c r="E76" s="96" t="s">
        <v>653</v>
      </c>
      <c r="F76" s="96" t="s">
        <v>310</v>
      </c>
      <c r="G76" s="105" t="s">
        <v>416</v>
      </c>
      <c r="H76" s="94">
        <v>0.79800000000000004</v>
      </c>
      <c r="I76" s="104">
        <v>1E-3</v>
      </c>
      <c r="J76" s="104">
        <v>1</v>
      </c>
      <c r="K76" s="119"/>
      <c r="L76" s="107"/>
      <c r="M76" s="112" t="s">
        <v>774</v>
      </c>
      <c r="N76" s="82"/>
      <c r="O76" s="120"/>
    </row>
    <row r="77" spans="1:15" ht="37.5" customHeight="1" outlineLevel="1" x14ac:dyDescent="0.35">
      <c r="A77" s="82">
        <v>74</v>
      </c>
      <c r="B77" s="87" t="s">
        <v>622</v>
      </c>
      <c r="C77" s="96" t="s">
        <v>676</v>
      </c>
      <c r="D77" s="87" t="s">
        <v>775</v>
      </c>
      <c r="E77" s="96" t="s">
        <v>753</v>
      </c>
      <c r="F77" s="87" t="s">
        <v>310</v>
      </c>
      <c r="G77" s="105" t="s">
        <v>416</v>
      </c>
      <c r="H77" s="94">
        <v>0.28999999999999998</v>
      </c>
      <c r="I77" s="84">
        <v>0</v>
      </c>
      <c r="J77" s="84">
        <v>1</v>
      </c>
      <c r="K77" s="85"/>
      <c r="L77" s="83"/>
      <c r="M77" s="112" t="s">
        <v>776</v>
      </c>
      <c r="O77" s="90"/>
    </row>
    <row r="78" spans="1:15" ht="37.5" customHeight="1" outlineLevel="1" x14ac:dyDescent="0.35">
      <c r="A78" s="82">
        <v>75</v>
      </c>
      <c r="B78" s="87" t="s">
        <v>622</v>
      </c>
      <c r="C78" s="96" t="s">
        <v>676</v>
      </c>
      <c r="D78" s="87" t="s">
        <v>777</v>
      </c>
      <c r="E78" s="96" t="s">
        <v>636</v>
      </c>
      <c r="F78" s="87" t="s">
        <v>310</v>
      </c>
      <c r="G78" s="105" t="s">
        <v>416</v>
      </c>
      <c r="H78" s="94">
        <f>0.0035+0.1655</f>
        <v>0.16900000000000001</v>
      </c>
      <c r="I78" s="84">
        <v>-1</v>
      </c>
      <c r="J78" s="84">
        <v>1</v>
      </c>
      <c r="K78" s="85" t="s">
        <v>624</v>
      </c>
      <c r="L78" s="83" t="s">
        <v>637</v>
      </c>
      <c r="M78" s="110"/>
      <c r="O78" s="90"/>
    </row>
    <row r="79" spans="1:15" ht="37.5" customHeight="1" outlineLevel="1" x14ac:dyDescent="0.35">
      <c r="A79" s="82">
        <v>76</v>
      </c>
      <c r="B79" s="87" t="s">
        <v>622</v>
      </c>
      <c r="C79" s="96" t="s">
        <v>676</v>
      </c>
      <c r="D79" s="87" t="s">
        <v>778</v>
      </c>
      <c r="E79" s="96" t="s">
        <v>745</v>
      </c>
      <c r="F79" s="87" t="s">
        <v>310</v>
      </c>
      <c r="G79" s="105" t="s">
        <v>416</v>
      </c>
      <c r="H79" s="94">
        <v>0.21779999999999999</v>
      </c>
      <c r="I79" s="84">
        <v>0</v>
      </c>
      <c r="J79" s="84">
        <v>1</v>
      </c>
      <c r="K79" s="85"/>
      <c r="L79" s="83"/>
      <c r="M79" s="112" t="s">
        <v>770</v>
      </c>
      <c r="O79" s="90"/>
    </row>
    <row r="80" spans="1:15" ht="37.5" customHeight="1" outlineLevel="1" x14ac:dyDescent="0.35">
      <c r="A80" s="82">
        <v>77</v>
      </c>
      <c r="B80" s="87" t="s">
        <v>622</v>
      </c>
      <c r="C80" s="96" t="s">
        <v>676</v>
      </c>
      <c r="D80" s="87" t="s">
        <v>779</v>
      </c>
      <c r="E80" s="96" t="s">
        <v>748</v>
      </c>
      <c r="F80" s="87" t="s">
        <v>310</v>
      </c>
      <c r="G80" s="105" t="s">
        <v>416</v>
      </c>
      <c r="H80" s="94">
        <v>-0.27</v>
      </c>
      <c r="I80" s="84">
        <v>-1</v>
      </c>
      <c r="J80" s="84">
        <v>0</v>
      </c>
      <c r="K80" s="85"/>
      <c r="L80" s="83"/>
      <c r="M80" s="110"/>
      <c r="O80" s="90"/>
    </row>
    <row r="81" spans="1:15" ht="37.5" customHeight="1" outlineLevel="1" x14ac:dyDescent="0.35">
      <c r="A81" s="82">
        <v>78</v>
      </c>
      <c r="B81" s="87" t="s">
        <v>622</v>
      </c>
      <c r="C81" s="96" t="s">
        <v>676</v>
      </c>
      <c r="D81" s="87" t="s">
        <v>780</v>
      </c>
      <c r="E81" s="96" t="s">
        <v>636</v>
      </c>
      <c r="F81" s="87" t="s">
        <v>310</v>
      </c>
      <c r="G81" s="105" t="s">
        <v>416</v>
      </c>
      <c r="H81" s="94">
        <f>0.79+0.3</f>
        <v>1.0900000000000001</v>
      </c>
      <c r="I81" s="84">
        <v>-1</v>
      </c>
      <c r="J81" s="84">
        <v>1</v>
      </c>
      <c r="K81" s="85" t="s">
        <v>624</v>
      </c>
      <c r="L81" s="83" t="s">
        <v>637</v>
      </c>
      <c r="M81" s="110"/>
      <c r="O81" s="90"/>
    </row>
    <row r="82" spans="1:15" ht="37.5" customHeight="1" outlineLevel="1" x14ac:dyDescent="0.35">
      <c r="A82" s="82">
        <v>79</v>
      </c>
      <c r="B82" s="87" t="s">
        <v>622</v>
      </c>
      <c r="C82" s="96" t="s">
        <v>676</v>
      </c>
      <c r="D82" s="87" t="s">
        <v>781</v>
      </c>
      <c r="E82" s="96" t="s">
        <v>636</v>
      </c>
      <c r="F82" s="87" t="s">
        <v>310</v>
      </c>
      <c r="G82" s="105" t="s">
        <v>416</v>
      </c>
      <c r="H82" s="94">
        <f>0.00504+0.21896</f>
        <v>0.22399999999999998</v>
      </c>
      <c r="I82" s="84">
        <v>-1</v>
      </c>
      <c r="J82" s="84">
        <v>1</v>
      </c>
      <c r="K82" s="85" t="s">
        <v>624</v>
      </c>
      <c r="L82" s="83" t="s">
        <v>637</v>
      </c>
      <c r="M82" s="110"/>
      <c r="O82" s="90"/>
    </row>
    <row r="83" spans="1:15" ht="37.5" customHeight="1" outlineLevel="1" x14ac:dyDescent="0.35">
      <c r="A83" s="82">
        <v>80</v>
      </c>
      <c r="B83" s="87" t="s">
        <v>622</v>
      </c>
      <c r="C83" s="96" t="s">
        <v>676</v>
      </c>
      <c r="D83" s="87" t="s">
        <v>782</v>
      </c>
      <c r="E83" s="96" t="s">
        <v>745</v>
      </c>
      <c r="F83" s="87" t="s">
        <v>310</v>
      </c>
      <c r="G83" s="105" t="s">
        <v>416</v>
      </c>
      <c r="H83" s="105" t="s">
        <v>416</v>
      </c>
      <c r="I83" s="84">
        <v>0</v>
      </c>
      <c r="J83" s="84">
        <v>1</v>
      </c>
      <c r="K83" s="85"/>
      <c r="L83" s="83"/>
      <c r="M83" s="112" t="s">
        <v>770</v>
      </c>
      <c r="O83" s="90"/>
    </row>
    <row r="84" spans="1:15" ht="37.5" customHeight="1" outlineLevel="1" x14ac:dyDescent="0.35">
      <c r="A84" s="82">
        <v>81</v>
      </c>
      <c r="B84" s="87" t="s">
        <v>622</v>
      </c>
      <c r="C84" s="96" t="s">
        <v>676</v>
      </c>
      <c r="D84" s="87" t="s">
        <v>783</v>
      </c>
      <c r="E84" s="96" t="s">
        <v>748</v>
      </c>
      <c r="F84" s="87" t="s">
        <v>310</v>
      </c>
      <c r="G84" s="105" t="s">
        <v>416</v>
      </c>
      <c r="H84" s="105" t="s">
        <v>416</v>
      </c>
      <c r="I84" s="84">
        <v>-1</v>
      </c>
      <c r="J84" s="84">
        <v>0</v>
      </c>
      <c r="K84" s="85"/>
      <c r="L84" s="83"/>
      <c r="M84" s="110"/>
      <c r="O84" s="90"/>
    </row>
    <row r="85" spans="1:15" ht="37.5" customHeight="1" outlineLevel="1" x14ac:dyDescent="0.35">
      <c r="A85" s="82">
        <v>82</v>
      </c>
      <c r="B85" s="87" t="s">
        <v>622</v>
      </c>
      <c r="C85" s="96" t="s">
        <v>676</v>
      </c>
      <c r="D85" s="87" t="s">
        <v>784</v>
      </c>
      <c r="E85" s="96" t="s">
        <v>669</v>
      </c>
      <c r="F85" s="87" t="s">
        <v>310</v>
      </c>
      <c r="G85" s="105" t="s">
        <v>416</v>
      </c>
      <c r="H85" s="105" t="s">
        <v>416</v>
      </c>
      <c r="I85" s="84">
        <v>1E-3</v>
      </c>
      <c r="J85" s="84">
        <v>1</v>
      </c>
      <c r="K85" s="85"/>
      <c r="L85" s="83"/>
      <c r="M85" s="112" t="s">
        <v>785</v>
      </c>
      <c r="O85" s="90"/>
    </row>
    <row r="86" spans="1:15" ht="37.5" customHeight="1" outlineLevel="1" x14ac:dyDescent="0.35">
      <c r="A86" s="82">
        <v>83</v>
      </c>
      <c r="B86" s="87" t="s">
        <v>622</v>
      </c>
      <c r="C86" s="96" t="s">
        <v>676</v>
      </c>
      <c r="D86" s="87" t="s">
        <v>786</v>
      </c>
      <c r="E86" s="96" t="s">
        <v>636</v>
      </c>
      <c r="F86" s="87" t="s">
        <v>310</v>
      </c>
      <c r="G86" s="105" t="s">
        <v>416</v>
      </c>
      <c r="H86" s="105" t="s">
        <v>416</v>
      </c>
      <c r="I86" s="84">
        <v>-1</v>
      </c>
      <c r="J86" s="84">
        <v>1</v>
      </c>
      <c r="K86" s="85" t="s">
        <v>624</v>
      </c>
      <c r="L86" s="83" t="s">
        <v>637</v>
      </c>
      <c r="M86" s="110"/>
      <c r="O86" s="90"/>
    </row>
    <row r="87" spans="1:15" ht="37.5" customHeight="1" outlineLevel="1" x14ac:dyDescent="0.35">
      <c r="A87" s="82">
        <v>84</v>
      </c>
      <c r="B87" s="87" t="s">
        <v>622</v>
      </c>
      <c r="C87" s="96" t="s">
        <v>676</v>
      </c>
      <c r="D87" s="87" t="s">
        <v>787</v>
      </c>
      <c r="E87" s="96" t="s">
        <v>745</v>
      </c>
      <c r="F87" s="87" t="s">
        <v>310</v>
      </c>
      <c r="G87" s="105" t="s">
        <v>416</v>
      </c>
      <c r="H87" s="94">
        <v>0.29199999999999998</v>
      </c>
      <c r="I87" s="84">
        <v>0</v>
      </c>
      <c r="J87" s="84">
        <v>1</v>
      </c>
      <c r="K87" s="85"/>
      <c r="L87" s="83"/>
      <c r="M87" s="112" t="s">
        <v>770</v>
      </c>
      <c r="O87" s="90"/>
    </row>
    <row r="88" spans="1:15" ht="37.5" customHeight="1" outlineLevel="1" x14ac:dyDescent="0.35">
      <c r="A88" s="82">
        <v>85</v>
      </c>
      <c r="B88" s="87" t="s">
        <v>622</v>
      </c>
      <c r="C88" s="96" t="s">
        <v>676</v>
      </c>
      <c r="D88" s="87" t="s">
        <v>788</v>
      </c>
      <c r="E88" s="96" t="s">
        <v>748</v>
      </c>
      <c r="F88" s="87" t="s">
        <v>310</v>
      </c>
      <c r="G88" s="105" t="s">
        <v>416</v>
      </c>
      <c r="H88" s="94">
        <v>0.121</v>
      </c>
      <c r="I88" s="84">
        <v>-1</v>
      </c>
      <c r="J88" s="84">
        <v>0</v>
      </c>
      <c r="K88" s="85"/>
      <c r="L88" s="83"/>
      <c r="M88" s="110"/>
      <c r="O88" s="90"/>
    </row>
    <row r="89" spans="1:15" ht="37.5" customHeight="1" outlineLevel="1" x14ac:dyDescent="0.35">
      <c r="A89" s="82">
        <v>86</v>
      </c>
      <c r="B89" s="87" t="s">
        <v>622</v>
      </c>
      <c r="C89" s="96" t="s">
        <v>676</v>
      </c>
      <c r="D89" s="87" t="s">
        <v>789</v>
      </c>
      <c r="E89" s="96" t="s">
        <v>674</v>
      </c>
      <c r="F89" s="87" t="s">
        <v>310</v>
      </c>
      <c r="G89" s="83">
        <v>1</v>
      </c>
      <c r="H89" s="94">
        <v>0.28699999999999998</v>
      </c>
      <c r="I89" s="84">
        <v>1E-3</v>
      </c>
      <c r="J89" s="84">
        <v>1</v>
      </c>
      <c r="K89" s="85"/>
      <c r="L89" s="83"/>
      <c r="M89" s="110"/>
      <c r="O89" s="90"/>
    </row>
    <row r="90" spans="1:15" ht="37.5" customHeight="1" outlineLevel="1" x14ac:dyDescent="0.35">
      <c r="A90" s="82">
        <v>87</v>
      </c>
      <c r="B90" s="87" t="s">
        <v>622</v>
      </c>
      <c r="C90" s="96" t="s">
        <v>710</v>
      </c>
      <c r="D90" s="96" t="s">
        <v>790</v>
      </c>
      <c r="E90" s="96" t="s">
        <v>745</v>
      </c>
      <c r="F90" s="96" t="s">
        <v>310</v>
      </c>
      <c r="G90" s="105" t="s">
        <v>416</v>
      </c>
      <c r="H90" s="94">
        <v>0.29139999999999999</v>
      </c>
      <c r="I90" s="104">
        <v>0</v>
      </c>
      <c r="J90" s="104">
        <v>1</v>
      </c>
      <c r="K90" s="119"/>
      <c r="L90" s="107" t="s">
        <v>561</v>
      </c>
      <c r="M90" s="112" t="s">
        <v>791</v>
      </c>
      <c r="O90" s="90"/>
    </row>
    <row r="91" spans="1:15" ht="37.5" customHeight="1" outlineLevel="1" x14ac:dyDescent="0.35">
      <c r="A91" s="82">
        <v>88</v>
      </c>
      <c r="B91" s="87" t="s">
        <v>622</v>
      </c>
      <c r="C91" s="96" t="s">
        <v>710</v>
      </c>
      <c r="D91" s="96" t="s">
        <v>792</v>
      </c>
      <c r="E91" s="96" t="s">
        <v>748</v>
      </c>
      <c r="F91" s="96" t="s">
        <v>310</v>
      </c>
      <c r="G91" s="105" t="s">
        <v>416</v>
      </c>
      <c r="H91" s="104">
        <f>-0.0466</f>
        <v>-4.6600000000000003E-2</v>
      </c>
      <c r="I91" s="104">
        <v>-1</v>
      </c>
      <c r="J91" s="104">
        <v>0</v>
      </c>
      <c r="K91" s="119"/>
      <c r="L91" s="107" t="s">
        <v>561</v>
      </c>
      <c r="M91" s="112" t="s">
        <v>793</v>
      </c>
      <c r="O91" s="90"/>
    </row>
    <row r="92" spans="1:15" s="95" customFormat="1" ht="31" outlineLevel="1" x14ac:dyDescent="0.35">
      <c r="A92" s="82">
        <v>89</v>
      </c>
      <c r="B92" s="96" t="s">
        <v>622</v>
      </c>
      <c r="C92" s="96" t="s">
        <v>710</v>
      </c>
      <c r="D92" s="96" t="s">
        <v>794</v>
      </c>
      <c r="E92" s="96" t="s">
        <v>653</v>
      </c>
      <c r="F92" s="96" t="s">
        <v>310</v>
      </c>
      <c r="G92" s="105" t="s">
        <v>416</v>
      </c>
      <c r="H92" s="94">
        <v>1</v>
      </c>
      <c r="I92" s="104">
        <v>1E-3</v>
      </c>
      <c r="J92" s="104">
        <v>1</v>
      </c>
      <c r="K92" s="119"/>
      <c r="L92" s="107"/>
      <c r="M92" s="112" t="s">
        <v>795</v>
      </c>
      <c r="N92" s="82"/>
      <c r="O92" s="120"/>
    </row>
    <row r="93" spans="1:15" ht="37.5" customHeight="1" outlineLevel="1" x14ac:dyDescent="0.35">
      <c r="A93" s="82">
        <v>90</v>
      </c>
      <c r="B93" s="87" t="s">
        <v>622</v>
      </c>
      <c r="C93" s="96" t="s">
        <v>710</v>
      </c>
      <c r="D93" s="87" t="s">
        <v>796</v>
      </c>
      <c r="E93" s="96" t="s">
        <v>753</v>
      </c>
      <c r="F93" s="87" t="s">
        <v>310</v>
      </c>
      <c r="G93" s="105" t="s">
        <v>416</v>
      </c>
      <c r="H93" s="94">
        <v>0.28000000000000003</v>
      </c>
      <c r="I93" s="84">
        <v>0</v>
      </c>
      <c r="J93" s="84">
        <v>1</v>
      </c>
      <c r="K93" s="85"/>
      <c r="L93" s="83"/>
      <c r="M93" s="112" t="s">
        <v>797</v>
      </c>
      <c r="O93" s="90"/>
    </row>
    <row r="94" spans="1:15" ht="37.5" customHeight="1" outlineLevel="1" x14ac:dyDescent="0.35">
      <c r="A94" s="82">
        <v>91</v>
      </c>
      <c r="B94" s="87" t="s">
        <v>622</v>
      </c>
      <c r="C94" s="96" t="s">
        <v>710</v>
      </c>
      <c r="D94" s="87" t="s">
        <v>798</v>
      </c>
      <c r="E94" s="96" t="s">
        <v>636</v>
      </c>
      <c r="F94" s="87" t="s">
        <v>310</v>
      </c>
      <c r="G94" s="105" t="s">
        <v>416</v>
      </c>
      <c r="H94" s="94">
        <f>0.003+0.0005</f>
        <v>3.5000000000000001E-3</v>
      </c>
      <c r="I94" s="84">
        <v>-1</v>
      </c>
      <c r="J94" s="84">
        <v>1</v>
      </c>
      <c r="K94" s="85" t="s">
        <v>624</v>
      </c>
      <c r="L94" s="83" t="s">
        <v>637</v>
      </c>
      <c r="M94" s="110"/>
      <c r="O94" s="90"/>
    </row>
    <row r="95" spans="1:15" ht="37.5" customHeight="1" outlineLevel="1" x14ac:dyDescent="0.35">
      <c r="A95" s="82">
        <v>92</v>
      </c>
      <c r="B95" s="87" t="s">
        <v>622</v>
      </c>
      <c r="C95" s="96" t="s">
        <v>710</v>
      </c>
      <c r="D95" s="87" t="s">
        <v>799</v>
      </c>
      <c r="E95" s="96" t="s">
        <v>745</v>
      </c>
      <c r="F95" s="87" t="s">
        <v>310</v>
      </c>
      <c r="G95" s="105" t="s">
        <v>416</v>
      </c>
      <c r="H95" s="94">
        <v>0</v>
      </c>
      <c r="I95" s="84">
        <v>0</v>
      </c>
      <c r="J95" s="84">
        <v>1</v>
      </c>
      <c r="K95" s="85"/>
      <c r="L95" s="83"/>
      <c r="M95" s="112" t="s">
        <v>791</v>
      </c>
      <c r="O95" s="90"/>
    </row>
    <row r="96" spans="1:15" ht="37.5" customHeight="1" outlineLevel="1" x14ac:dyDescent="0.35">
      <c r="A96" s="82">
        <v>93</v>
      </c>
      <c r="B96" s="87" t="s">
        <v>622</v>
      </c>
      <c r="C96" s="96" t="s">
        <v>710</v>
      </c>
      <c r="D96" s="87" t="s">
        <v>800</v>
      </c>
      <c r="E96" s="96" t="s">
        <v>748</v>
      </c>
      <c r="F96" s="87" t="s">
        <v>310</v>
      </c>
      <c r="G96" s="105" t="s">
        <v>416</v>
      </c>
      <c r="H96" s="94">
        <v>-2.7E-2</v>
      </c>
      <c r="I96" s="84">
        <v>-1</v>
      </c>
      <c r="J96" s="84">
        <v>0</v>
      </c>
      <c r="K96" s="85"/>
      <c r="L96" s="83"/>
      <c r="M96" s="110"/>
      <c r="O96" s="90"/>
    </row>
    <row r="97" spans="1:15" ht="37.5" customHeight="1" outlineLevel="1" x14ac:dyDescent="0.35">
      <c r="A97" s="82">
        <v>94</v>
      </c>
      <c r="B97" s="87" t="s">
        <v>622</v>
      </c>
      <c r="C97" s="96" t="s">
        <v>710</v>
      </c>
      <c r="D97" s="87" t="s">
        <v>801</v>
      </c>
      <c r="E97" s="96" t="s">
        <v>636</v>
      </c>
      <c r="F97" s="87" t="s">
        <v>310</v>
      </c>
      <c r="G97" s="105" t="s">
        <v>416</v>
      </c>
      <c r="H97" s="94">
        <f>0.79+0.3</f>
        <v>1.0900000000000001</v>
      </c>
      <c r="I97" s="84">
        <v>-1</v>
      </c>
      <c r="J97" s="84">
        <v>1</v>
      </c>
      <c r="K97" s="85" t="s">
        <v>624</v>
      </c>
      <c r="L97" s="83" t="s">
        <v>637</v>
      </c>
      <c r="M97" s="110"/>
      <c r="O97" s="90"/>
    </row>
    <row r="98" spans="1:15" ht="37.5" customHeight="1" outlineLevel="1" x14ac:dyDescent="0.35">
      <c r="A98" s="82">
        <v>95</v>
      </c>
      <c r="B98" s="87" t="s">
        <v>622</v>
      </c>
      <c r="C98" s="96" t="s">
        <v>710</v>
      </c>
      <c r="D98" s="87" t="s">
        <v>802</v>
      </c>
      <c r="E98" s="96" t="s">
        <v>636</v>
      </c>
      <c r="F98" s="87" t="s">
        <v>310</v>
      </c>
      <c r="G98" s="105" t="s">
        <v>416</v>
      </c>
      <c r="H98" s="94">
        <f>0.0042+(-0.0039)</f>
        <v>2.9999999999999992E-4</v>
      </c>
      <c r="I98" s="84">
        <v>-1</v>
      </c>
      <c r="J98" s="84">
        <v>1</v>
      </c>
      <c r="K98" s="85" t="s">
        <v>624</v>
      </c>
      <c r="L98" s="83" t="s">
        <v>637</v>
      </c>
      <c r="M98" s="110"/>
      <c r="O98" s="90"/>
    </row>
    <row r="99" spans="1:15" ht="37.5" customHeight="1" outlineLevel="1" x14ac:dyDescent="0.35">
      <c r="A99" s="82">
        <v>96</v>
      </c>
      <c r="B99" s="87" t="s">
        <v>622</v>
      </c>
      <c r="C99" s="96" t="s">
        <v>710</v>
      </c>
      <c r="D99" s="87" t="s">
        <v>803</v>
      </c>
      <c r="E99" s="96" t="s">
        <v>745</v>
      </c>
      <c r="F99" s="87" t="s">
        <v>310</v>
      </c>
      <c r="G99" s="105" t="s">
        <v>416</v>
      </c>
      <c r="H99" s="105" t="s">
        <v>416</v>
      </c>
      <c r="I99" s="84">
        <v>0</v>
      </c>
      <c r="J99" s="84">
        <v>1</v>
      </c>
      <c r="K99" s="85"/>
      <c r="L99" s="83"/>
      <c r="M99" s="112" t="s">
        <v>791</v>
      </c>
      <c r="O99" s="90"/>
    </row>
    <row r="100" spans="1:15" ht="37.5" customHeight="1" outlineLevel="1" x14ac:dyDescent="0.35">
      <c r="A100" s="82">
        <v>97</v>
      </c>
      <c r="B100" s="87" t="s">
        <v>622</v>
      </c>
      <c r="C100" s="96" t="s">
        <v>710</v>
      </c>
      <c r="D100" s="87" t="s">
        <v>804</v>
      </c>
      <c r="E100" s="96" t="s">
        <v>748</v>
      </c>
      <c r="F100" s="87" t="s">
        <v>310</v>
      </c>
      <c r="G100" s="105" t="s">
        <v>416</v>
      </c>
      <c r="H100" s="105" t="s">
        <v>416</v>
      </c>
      <c r="I100" s="84">
        <v>-1</v>
      </c>
      <c r="J100" s="84">
        <v>0</v>
      </c>
      <c r="K100" s="85"/>
      <c r="L100" s="83"/>
      <c r="M100" s="110"/>
      <c r="O100" s="90"/>
    </row>
    <row r="101" spans="1:15" ht="37.5" customHeight="1" outlineLevel="1" x14ac:dyDescent="0.35">
      <c r="A101" s="82">
        <v>98</v>
      </c>
      <c r="B101" s="87" t="s">
        <v>622</v>
      </c>
      <c r="C101" s="96" t="s">
        <v>710</v>
      </c>
      <c r="D101" s="87" t="s">
        <v>805</v>
      </c>
      <c r="E101" s="96" t="s">
        <v>669</v>
      </c>
      <c r="F101" s="87" t="s">
        <v>310</v>
      </c>
      <c r="G101" s="105" t="s">
        <v>416</v>
      </c>
      <c r="H101" s="105" t="s">
        <v>416</v>
      </c>
      <c r="I101" s="84">
        <v>1E-3</v>
      </c>
      <c r="J101" s="84">
        <v>1</v>
      </c>
      <c r="K101" s="85"/>
      <c r="L101" s="83"/>
      <c r="M101" s="112" t="s">
        <v>806</v>
      </c>
      <c r="O101" s="90"/>
    </row>
    <row r="102" spans="1:15" ht="37.5" customHeight="1" outlineLevel="1" x14ac:dyDescent="0.35">
      <c r="A102" s="82">
        <v>99</v>
      </c>
      <c r="B102" s="87" t="s">
        <v>622</v>
      </c>
      <c r="C102" s="96" t="s">
        <v>710</v>
      </c>
      <c r="D102" s="87" t="s">
        <v>807</v>
      </c>
      <c r="E102" s="96" t="s">
        <v>636</v>
      </c>
      <c r="F102" s="87" t="s">
        <v>310</v>
      </c>
      <c r="G102" s="105" t="s">
        <v>416</v>
      </c>
      <c r="H102" s="105" t="s">
        <v>416</v>
      </c>
      <c r="I102" s="84">
        <v>-1</v>
      </c>
      <c r="J102" s="84">
        <v>1</v>
      </c>
      <c r="K102" s="85" t="s">
        <v>624</v>
      </c>
      <c r="L102" s="83" t="s">
        <v>637</v>
      </c>
      <c r="M102" s="110"/>
      <c r="O102" s="90"/>
    </row>
    <row r="103" spans="1:15" ht="37.5" customHeight="1" outlineLevel="1" x14ac:dyDescent="0.35">
      <c r="A103" s="82">
        <v>100</v>
      </c>
      <c r="B103" s="87" t="s">
        <v>622</v>
      </c>
      <c r="C103" s="96" t="s">
        <v>710</v>
      </c>
      <c r="D103" s="87" t="s">
        <v>808</v>
      </c>
      <c r="E103" s="96" t="s">
        <v>745</v>
      </c>
      <c r="F103" s="87" t="s">
        <v>310</v>
      </c>
      <c r="G103" s="105" t="s">
        <v>416</v>
      </c>
      <c r="H103" s="94">
        <v>0.3</v>
      </c>
      <c r="I103" s="84">
        <v>0</v>
      </c>
      <c r="J103" s="84">
        <v>1</v>
      </c>
      <c r="K103" s="85"/>
      <c r="L103" s="83"/>
      <c r="M103" s="112" t="s">
        <v>791</v>
      </c>
      <c r="O103" s="90"/>
    </row>
    <row r="104" spans="1:15" ht="37.5" customHeight="1" outlineLevel="1" x14ac:dyDescent="0.35">
      <c r="A104" s="82">
        <v>101</v>
      </c>
      <c r="B104" s="87" t="s">
        <v>622</v>
      </c>
      <c r="C104" s="96" t="s">
        <v>710</v>
      </c>
      <c r="D104" s="87" t="s">
        <v>809</v>
      </c>
      <c r="E104" s="96" t="s">
        <v>748</v>
      </c>
      <c r="F104" s="87" t="s">
        <v>310</v>
      </c>
      <c r="G104" s="105" t="s">
        <v>416</v>
      </c>
      <c r="H104" s="94">
        <v>0.04</v>
      </c>
      <c r="I104" s="84">
        <v>-1</v>
      </c>
      <c r="J104" s="84">
        <v>0</v>
      </c>
      <c r="K104" s="85"/>
      <c r="L104" s="83"/>
      <c r="M104" s="110"/>
      <c r="O104" s="90"/>
    </row>
    <row r="105" spans="1:15" ht="37.5" customHeight="1" outlineLevel="1" x14ac:dyDescent="0.35">
      <c r="A105" s="82">
        <v>102</v>
      </c>
      <c r="B105" s="87" t="s">
        <v>622</v>
      </c>
      <c r="C105" s="96" t="s">
        <v>710</v>
      </c>
      <c r="D105" s="87" t="s">
        <v>810</v>
      </c>
      <c r="E105" s="96" t="s">
        <v>674</v>
      </c>
      <c r="F105" s="87" t="s">
        <v>310</v>
      </c>
      <c r="G105" s="83">
        <v>1</v>
      </c>
      <c r="H105" s="94">
        <v>0.1</v>
      </c>
      <c r="I105" s="84">
        <v>1E-3</v>
      </c>
      <c r="J105" s="84">
        <v>1</v>
      </c>
      <c r="K105" s="85"/>
      <c r="L105" s="83"/>
      <c r="M105" s="110"/>
      <c r="O105" s="90"/>
    </row>
    <row r="106" spans="1:15" ht="46.5" x14ac:dyDescent="0.35">
      <c r="A106" s="82">
        <v>103</v>
      </c>
      <c r="B106" s="82" t="s">
        <v>622</v>
      </c>
      <c r="C106" s="96" t="s">
        <v>811</v>
      </c>
      <c r="D106" s="82" t="s">
        <v>812</v>
      </c>
      <c r="E106" s="96" t="s">
        <v>633</v>
      </c>
      <c r="F106" s="82" t="s">
        <v>310</v>
      </c>
      <c r="G106" s="158">
        <v>-5.3639999999999998E-3</v>
      </c>
      <c r="H106" s="94">
        <v>1.8E-3</v>
      </c>
      <c r="I106" s="100">
        <v>-1</v>
      </c>
      <c r="J106" s="84">
        <v>0</v>
      </c>
      <c r="K106" s="85" t="s">
        <v>1648</v>
      </c>
      <c r="L106" s="83">
        <v>201</v>
      </c>
      <c r="M106" s="86" t="s">
        <v>813</v>
      </c>
      <c r="O106" s="90"/>
    </row>
    <row r="107" spans="1:15" ht="33" customHeight="1" outlineLevel="1" x14ac:dyDescent="0.35">
      <c r="A107" s="82">
        <v>104</v>
      </c>
      <c r="B107" s="82" t="s">
        <v>622</v>
      </c>
      <c r="C107" s="96" t="s">
        <v>811</v>
      </c>
      <c r="D107" s="82" t="s">
        <v>814</v>
      </c>
      <c r="E107" s="96" t="s">
        <v>636</v>
      </c>
      <c r="F107" s="82" t="s">
        <v>310</v>
      </c>
      <c r="G107" s="158">
        <v>0.231183</v>
      </c>
      <c r="H107" s="94">
        <f>0.0012+0.0018</f>
        <v>3.0000000000000001E-3</v>
      </c>
      <c r="I107" s="84">
        <v>-1</v>
      </c>
      <c r="J107" s="84">
        <v>1</v>
      </c>
      <c r="K107" s="85" t="s">
        <v>1648</v>
      </c>
      <c r="L107" s="83">
        <v>201</v>
      </c>
      <c r="M107" s="110"/>
      <c r="O107" s="90"/>
    </row>
    <row r="108" spans="1:15" ht="31" outlineLevel="1" x14ac:dyDescent="0.35">
      <c r="A108" s="82">
        <v>105</v>
      </c>
      <c r="B108" s="82" t="s">
        <v>622</v>
      </c>
      <c r="C108" s="96" t="s">
        <v>811</v>
      </c>
      <c r="D108" s="82" t="s">
        <v>815</v>
      </c>
      <c r="E108" s="96" t="s">
        <v>753</v>
      </c>
      <c r="F108" s="82" t="s">
        <v>310</v>
      </c>
      <c r="G108" s="158">
        <v>2.7965E-2</v>
      </c>
      <c r="H108" s="94">
        <v>0.26700000000000002</v>
      </c>
      <c r="I108" s="84">
        <v>0</v>
      </c>
      <c r="J108" s="84">
        <v>1</v>
      </c>
      <c r="K108" s="85" t="s">
        <v>1648</v>
      </c>
      <c r="L108" s="83">
        <v>201</v>
      </c>
      <c r="M108" s="112" t="s">
        <v>816</v>
      </c>
      <c r="O108" s="90"/>
    </row>
    <row r="109" spans="1:15" ht="46.5" outlineLevel="1" x14ac:dyDescent="0.35">
      <c r="A109" s="82">
        <v>106</v>
      </c>
      <c r="B109" s="82" t="s">
        <v>622</v>
      </c>
      <c r="C109" s="96" t="s">
        <v>811</v>
      </c>
      <c r="D109" s="82" t="s">
        <v>817</v>
      </c>
      <c r="E109" s="96" t="s">
        <v>633</v>
      </c>
      <c r="F109" s="82" t="s">
        <v>310</v>
      </c>
      <c r="G109" s="158">
        <v>-0.11777700000000001</v>
      </c>
      <c r="H109" s="94">
        <v>5.2400000000000002E-2</v>
      </c>
      <c r="I109" s="100">
        <v>-1</v>
      </c>
      <c r="J109" s="84">
        <v>0</v>
      </c>
      <c r="K109" s="85" t="s">
        <v>1648</v>
      </c>
      <c r="L109" s="88">
        <v>202</v>
      </c>
      <c r="M109" s="86" t="s">
        <v>818</v>
      </c>
      <c r="O109" s="90"/>
    </row>
    <row r="110" spans="1:15" ht="33" customHeight="1" outlineLevel="1" x14ac:dyDescent="0.35">
      <c r="A110" s="82">
        <v>107</v>
      </c>
      <c r="B110" s="82" t="s">
        <v>622</v>
      </c>
      <c r="C110" s="96" t="s">
        <v>811</v>
      </c>
      <c r="D110" s="82" t="s">
        <v>819</v>
      </c>
      <c r="E110" s="96" t="s">
        <v>636</v>
      </c>
      <c r="F110" s="82" t="s">
        <v>310</v>
      </c>
      <c r="G110" s="158">
        <v>-0.11769399999999999</v>
      </c>
      <c r="H110" s="94">
        <f>0.0042+0.0524</f>
        <v>5.6600000000000004E-2</v>
      </c>
      <c r="I110" s="84">
        <v>-1</v>
      </c>
      <c r="J110" s="84">
        <v>1</v>
      </c>
      <c r="K110" s="85" t="s">
        <v>1648</v>
      </c>
      <c r="L110" s="88">
        <v>202</v>
      </c>
      <c r="M110" s="110"/>
      <c r="O110" s="90"/>
    </row>
    <row r="111" spans="1:15" ht="31" outlineLevel="1" x14ac:dyDescent="0.35">
      <c r="A111" s="82">
        <v>108</v>
      </c>
      <c r="B111" s="82" t="s">
        <v>622</v>
      </c>
      <c r="C111" s="96" t="s">
        <v>811</v>
      </c>
      <c r="D111" s="82" t="s">
        <v>820</v>
      </c>
      <c r="E111" s="96" t="s">
        <v>653</v>
      </c>
      <c r="F111" s="82" t="s">
        <v>310</v>
      </c>
      <c r="G111" s="158">
        <v>0.93914600000000004</v>
      </c>
      <c r="H111" s="109">
        <v>6.88E-2</v>
      </c>
      <c r="I111" s="84">
        <v>1E-3</v>
      </c>
      <c r="J111" s="84">
        <v>1</v>
      </c>
      <c r="K111" s="85" t="s">
        <v>1648</v>
      </c>
      <c r="L111" s="88">
        <v>202</v>
      </c>
      <c r="M111" s="112" t="s">
        <v>821</v>
      </c>
      <c r="O111" s="90"/>
    </row>
    <row r="112" spans="1:15" ht="46.5" outlineLevel="1" x14ac:dyDescent="0.35">
      <c r="A112" s="82">
        <v>109</v>
      </c>
      <c r="B112" s="82" t="s">
        <v>622</v>
      </c>
      <c r="C112" s="96" t="s">
        <v>811</v>
      </c>
      <c r="D112" s="82" t="s">
        <v>822</v>
      </c>
      <c r="E112" s="96" t="s">
        <v>633</v>
      </c>
      <c r="F112" s="82" t="s">
        <v>310</v>
      </c>
      <c r="G112" s="88" t="s">
        <v>416</v>
      </c>
      <c r="H112" s="105" t="s">
        <v>416</v>
      </c>
      <c r="I112" s="100">
        <v>-1</v>
      </c>
      <c r="J112" s="84">
        <v>0</v>
      </c>
      <c r="K112" s="88" t="s">
        <v>416</v>
      </c>
      <c r="L112" s="88" t="s">
        <v>416</v>
      </c>
      <c r="M112" s="86" t="s">
        <v>823</v>
      </c>
      <c r="O112" s="90"/>
    </row>
    <row r="113" spans="1:15" ht="33" customHeight="1" outlineLevel="1" x14ac:dyDescent="0.35">
      <c r="A113" s="82">
        <v>110</v>
      </c>
      <c r="B113" s="82" t="s">
        <v>622</v>
      </c>
      <c r="C113" s="96" t="s">
        <v>811</v>
      </c>
      <c r="D113" s="82" t="s">
        <v>824</v>
      </c>
      <c r="E113" s="96" t="s">
        <v>636</v>
      </c>
      <c r="F113" s="82" t="s">
        <v>310</v>
      </c>
      <c r="G113" s="88" t="s">
        <v>416</v>
      </c>
      <c r="H113" s="105" t="s">
        <v>416</v>
      </c>
      <c r="I113" s="84">
        <v>-1</v>
      </c>
      <c r="J113" s="84">
        <v>1</v>
      </c>
      <c r="K113" s="88" t="s">
        <v>416</v>
      </c>
      <c r="L113" s="88" t="s">
        <v>416</v>
      </c>
      <c r="M113" s="110"/>
      <c r="O113" s="90"/>
    </row>
    <row r="114" spans="1:15" ht="31" outlineLevel="1" x14ac:dyDescent="0.35">
      <c r="A114" s="82">
        <v>111</v>
      </c>
      <c r="B114" s="82" t="s">
        <v>622</v>
      </c>
      <c r="C114" s="96" t="s">
        <v>811</v>
      </c>
      <c r="D114" s="82" t="s">
        <v>825</v>
      </c>
      <c r="E114" s="96" t="s">
        <v>669</v>
      </c>
      <c r="F114" s="82" t="s">
        <v>310</v>
      </c>
      <c r="G114" s="88" t="s">
        <v>416</v>
      </c>
      <c r="H114" s="105" t="s">
        <v>416</v>
      </c>
      <c r="I114" s="84">
        <v>1E-3</v>
      </c>
      <c r="J114" s="84">
        <v>1</v>
      </c>
      <c r="K114" s="88" t="s">
        <v>416</v>
      </c>
      <c r="L114" s="88" t="s">
        <v>416</v>
      </c>
      <c r="M114" s="112" t="s">
        <v>826</v>
      </c>
      <c r="O114" s="90"/>
    </row>
    <row r="115" spans="1:15" ht="46.5" outlineLevel="1" x14ac:dyDescent="0.35">
      <c r="A115" s="82">
        <v>112</v>
      </c>
      <c r="B115" s="82" t="s">
        <v>622</v>
      </c>
      <c r="C115" s="96" t="s">
        <v>811</v>
      </c>
      <c r="D115" s="82" t="s">
        <v>827</v>
      </c>
      <c r="E115" s="96" t="s">
        <v>633</v>
      </c>
      <c r="F115" s="82" t="s">
        <v>310</v>
      </c>
      <c r="G115" s="158">
        <v>-0.12723400000000001</v>
      </c>
      <c r="H115" s="94">
        <v>0.84830000000000005</v>
      </c>
      <c r="I115" s="100">
        <v>-1</v>
      </c>
      <c r="J115" s="84">
        <v>0</v>
      </c>
      <c r="K115" s="85" t="s">
        <v>1648</v>
      </c>
      <c r="L115" s="88">
        <v>203</v>
      </c>
      <c r="M115" s="86" t="s">
        <v>828</v>
      </c>
      <c r="O115" s="90"/>
    </row>
    <row r="116" spans="1:15" ht="33" customHeight="1" outlineLevel="1" x14ac:dyDescent="0.35">
      <c r="A116" s="82">
        <v>113</v>
      </c>
      <c r="B116" s="82" t="s">
        <v>622</v>
      </c>
      <c r="C116" s="96" t="s">
        <v>811</v>
      </c>
      <c r="D116" s="82" t="s">
        <v>829</v>
      </c>
      <c r="E116" s="96" t="s">
        <v>636</v>
      </c>
      <c r="F116" s="82" t="s">
        <v>310</v>
      </c>
      <c r="G116" s="158">
        <v>0.62215500000000001</v>
      </c>
      <c r="H116" s="94">
        <f>0.8+(0.8483)</f>
        <v>1.6483000000000001</v>
      </c>
      <c r="I116" s="84">
        <v>-1</v>
      </c>
      <c r="J116" s="84">
        <v>1</v>
      </c>
      <c r="K116" s="85" t="s">
        <v>1648</v>
      </c>
      <c r="L116" s="88">
        <v>203</v>
      </c>
      <c r="M116" s="110"/>
      <c r="O116" s="90"/>
    </row>
    <row r="117" spans="1:15" ht="46.5" x14ac:dyDescent="0.35">
      <c r="A117" s="82">
        <v>114</v>
      </c>
      <c r="B117" s="87" t="s">
        <v>622</v>
      </c>
      <c r="C117" s="96" t="s">
        <v>830</v>
      </c>
      <c r="D117" s="87" t="s">
        <v>831</v>
      </c>
      <c r="E117" s="96" t="s">
        <v>633</v>
      </c>
      <c r="F117" s="87" t="s">
        <v>310</v>
      </c>
      <c r="G117" s="158">
        <v>-1.9000000000000001E-4</v>
      </c>
      <c r="H117" s="94">
        <v>6.9999999999999999E-4</v>
      </c>
      <c r="I117" s="100">
        <v>-1</v>
      </c>
      <c r="J117" s="84">
        <v>0</v>
      </c>
      <c r="K117" s="85" t="s">
        <v>1648</v>
      </c>
      <c r="L117" s="88">
        <v>198</v>
      </c>
      <c r="M117" s="86" t="s">
        <v>832</v>
      </c>
      <c r="O117" s="90"/>
    </row>
    <row r="118" spans="1:15" ht="33" customHeight="1" outlineLevel="1" x14ac:dyDescent="0.35">
      <c r="A118" s="82">
        <v>115</v>
      </c>
      <c r="B118" s="87" t="s">
        <v>622</v>
      </c>
      <c r="C118" s="96" t="s">
        <v>830</v>
      </c>
      <c r="D118" s="87" t="s">
        <v>833</v>
      </c>
      <c r="E118" s="96" t="s">
        <v>636</v>
      </c>
      <c r="F118" s="87" t="s">
        <v>310</v>
      </c>
      <c r="G118" s="158">
        <v>0.22800799999999999</v>
      </c>
      <c r="H118" s="94">
        <f>0.0027+0.0007</f>
        <v>3.4000000000000002E-3</v>
      </c>
      <c r="I118" s="84">
        <v>-1</v>
      </c>
      <c r="J118" s="84">
        <v>1</v>
      </c>
      <c r="K118" s="85" t="s">
        <v>1648</v>
      </c>
      <c r="L118" s="88">
        <v>198</v>
      </c>
      <c r="M118" s="110"/>
      <c r="O118" s="90"/>
    </row>
    <row r="119" spans="1:15" ht="31" outlineLevel="1" x14ac:dyDescent="0.35">
      <c r="A119" s="82">
        <v>116</v>
      </c>
      <c r="B119" s="87" t="s">
        <v>622</v>
      </c>
      <c r="C119" s="96" t="s">
        <v>830</v>
      </c>
      <c r="D119" s="87" t="s">
        <v>834</v>
      </c>
      <c r="E119" s="96" t="s">
        <v>753</v>
      </c>
      <c r="F119" s="87" t="s">
        <v>310</v>
      </c>
      <c r="G119" s="158">
        <v>0.43525700000000001</v>
      </c>
      <c r="H119" s="94">
        <v>0.24</v>
      </c>
      <c r="I119" s="84">
        <v>0</v>
      </c>
      <c r="J119" s="84">
        <v>1</v>
      </c>
      <c r="K119" s="85" t="s">
        <v>1648</v>
      </c>
      <c r="L119" s="88">
        <v>198</v>
      </c>
      <c r="M119" s="112" t="s">
        <v>835</v>
      </c>
      <c r="O119" s="90"/>
    </row>
    <row r="120" spans="1:15" ht="84" customHeight="1" outlineLevel="1" x14ac:dyDescent="0.35">
      <c r="A120" s="82">
        <v>117</v>
      </c>
      <c r="B120" s="87" t="s">
        <v>622</v>
      </c>
      <c r="C120" s="96" t="s">
        <v>830</v>
      </c>
      <c r="D120" s="87" t="s">
        <v>836</v>
      </c>
      <c r="E120" s="96" t="s">
        <v>633</v>
      </c>
      <c r="F120" s="87" t="s">
        <v>310</v>
      </c>
      <c r="G120" s="158">
        <v>6.3299999999999999E-4</v>
      </c>
      <c r="H120" s="94">
        <v>2.7300000000000001E-2</v>
      </c>
      <c r="I120" s="100">
        <v>-1</v>
      </c>
      <c r="J120" s="84">
        <v>0</v>
      </c>
      <c r="K120" s="85" t="s">
        <v>1648</v>
      </c>
      <c r="L120" s="88">
        <v>200</v>
      </c>
      <c r="M120" s="86" t="s">
        <v>837</v>
      </c>
      <c r="O120" s="90"/>
    </row>
    <row r="121" spans="1:15" ht="59.25" customHeight="1" outlineLevel="1" x14ac:dyDescent="0.35">
      <c r="A121" s="82">
        <v>118</v>
      </c>
      <c r="B121" s="87" t="s">
        <v>622</v>
      </c>
      <c r="C121" s="96" t="s">
        <v>830</v>
      </c>
      <c r="D121" s="87" t="s">
        <v>838</v>
      </c>
      <c r="E121" s="96" t="s">
        <v>636</v>
      </c>
      <c r="F121" s="87" t="s">
        <v>310</v>
      </c>
      <c r="G121" s="158">
        <v>0.154728</v>
      </c>
      <c r="H121" s="92">
        <f>0.007+0.0273</f>
        <v>3.4300000000000004E-2</v>
      </c>
      <c r="I121" s="84">
        <v>-1</v>
      </c>
      <c r="J121" s="84">
        <v>1</v>
      </c>
      <c r="K121" s="85" t="s">
        <v>1648</v>
      </c>
      <c r="L121" s="88">
        <v>200</v>
      </c>
      <c r="M121" s="110"/>
      <c r="O121" s="90"/>
    </row>
    <row r="122" spans="1:15" ht="68.25" customHeight="1" outlineLevel="1" x14ac:dyDescent="0.35">
      <c r="A122" s="82">
        <v>119</v>
      </c>
      <c r="B122" s="87" t="s">
        <v>622</v>
      </c>
      <c r="C122" s="96" t="s">
        <v>830</v>
      </c>
      <c r="D122" s="87" t="s">
        <v>839</v>
      </c>
      <c r="E122" s="96" t="s">
        <v>653</v>
      </c>
      <c r="F122" s="87" t="s">
        <v>310</v>
      </c>
      <c r="G122" s="158">
        <v>0.95755299999999999</v>
      </c>
      <c r="H122" s="109">
        <v>0.85399999999999998</v>
      </c>
      <c r="I122" s="84">
        <v>1E-3</v>
      </c>
      <c r="J122" s="84">
        <v>1</v>
      </c>
      <c r="K122" s="85" t="s">
        <v>1648</v>
      </c>
      <c r="L122" s="88">
        <v>200</v>
      </c>
      <c r="M122" s="112" t="s">
        <v>840</v>
      </c>
      <c r="O122" s="90"/>
    </row>
    <row r="123" spans="1:15" ht="33" customHeight="1" outlineLevel="1" x14ac:dyDescent="0.35">
      <c r="A123" s="82">
        <v>120</v>
      </c>
      <c r="B123" s="87" t="s">
        <v>622</v>
      </c>
      <c r="C123" s="96" t="s">
        <v>830</v>
      </c>
      <c r="D123" s="87" t="s">
        <v>841</v>
      </c>
      <c r="E123" s="96" t="s">
        <v>633</v>
      </c>
      <c r="F123" s="87" t="s">
        <v>310</v>
      </c>
      <c r="G123" s="88" t="s">
        <v>416</v>
      </c>
      <c r="H123" s="105" t="s">
        <v>416</v>
      </c>
      <c r="I123" s="100">
        <v>-1</v>
      </c>
      <c r="J123" s="84">
        <v>0</v>
      </c>
      <c r="K123" s="88" t="s">
        <v>416</v>
      </c>
      <c r="L123" s="88" t="s">
        <v>416</v>
      </c>
      <c r="M123" s="86" t="s">
        <v>842</v>
      </c>
      <c r="O123" s="90"/>
    </row>
    <row r="124" spans="1:15" ht="33" customHeight="1" outlineLevel="1" x14ac:dyDescent="0.35">
      <c r="A124" s="82">
        <v>121</v>
      </c>
      <c r="B124" s="87" t="s">
        <v>622</v>
      </c>
      <c r="C124" s="96" t="s">
        <v>830</v>
      </c>
      <c r="D124" s="87" t="s">
        <v>843</v>
      </c>
      <c r="E124" s="96" t="s">
        <v>636</v>
      </c>
      <c r="F124" s="87" t="s">
        <v>310</v>
      </c>
      <c r="G124" s="88" t="s">
        <v>416</v>
      </c>
      <c r="H124" s="105" t="s">
        <v>416</v>
      </c>
      <c r="I124" s="84">
        <v>-1</v>
      </c>
      <c r="J124" s="84">
        <v>1</v>
      </c>
      <c r="K124" s="88" t="s">
        <v>416</v>
      </c>
      <c r="L124" s="88" t="s">
        <v>416</v>
      </c>
      <c r="M124" s="110"/>
      <c r="O124" s="90"/>
    </row>
    <row r="125" spans="1:15" ht="33" customHeight="1" outlineLevel="1" x14ac:dyDescent="0.35">
      <c r="A125" s="82">
        <v>122</v>
      </c>
      <c r="B125" s="87" t="s">
        <v>622</v>
      </c>
      <c r="C125" s="96" t="s">
        <v>830</v>
      </c>
      <c r="D125" s="87" t="s">
        <v>844</v>
      </c>
      <c r="E125" s="96" t="s">
        <v>669</v>
      </c>
      <c r="F125" s="87" t="s">
        <v>310</v>
      </c>
      <c r="G125" s="88" t="s">
        <v>416</v>
      </c>
      <c r="H125" s="105" t="s">
        <v>416</v>
      </c>
      <c r="I125" s="84">
        <v>1E-3</v>
      </c>
      <c r="J125" s="84">
        <v>1</v>
      </c>
      <c r="K125" s="88" t="s">
        <v>416</v>
      </c>
      <c r="L125" s="88" t="s">
        <v>416</v>
      </c>
      <c r="M125" s="112" t="s">
        <v>845</v>
      </c>
      <c r="O125" s="90"/>
    </row>
    <row r="126" spans="1:15" ht="33" customHeight="1" outlineLevel="1" x14ac:dyDescent="0.35">
      <c r="A126" s="82">
        <v>123</v>
      </c>
      <c r="B126" s="87" t="s">
        <v>622</v>
      </c>
      <c r="C126" s="96" t="s">
        <v>830</v>
      </c>
      <c r="D126" s="87" t="s">
        <v>846</v>
      </c>
      <c r="E126" s="96" t="s">
        <v>633</v>
      </c>
      <c r="F126" s="87" t="s">
        <v>310</v>
      </c>
      <c r="G126" s="158">
        <v>1.0250000000000001E-3</v>
      </c>
      <c r="H126" s="92">
        <v>1.0449999999999999</v>
      </c>
      <c r="I126" s="100">
        <v>-1</v>
      </c>
      <c r="J126" s="84">
        <v>0</v>
      </c>
      <c r="K126" s="85" t="s">
        <v>1648</v>
      </c>
      <c r="L126" s="88">
        <v>199</v>
      </c>
      <c r="M126" s="86" t="s">
        <v>847</v>
      </c>
      <c r="O126" s="90"/>
    </row>
    <row r="127" spans="1:15" ht="33" customHeight="1" outlineLevel="1" x14ac:dyDescent="0.35">
      <c r="A127" s="82">
        <v>124</v>
      </c>
      <c r="B127" s="87" t="s">
        <v>622</v>
      </c>
      <c r="C127" s="96" t="s">
        <v>830</v>
      </c>
      <c r="D127" s="87" t="s">
        <v>848</v>
      </c>
      <c r="E127" s="96" t="s">
        <v>636</v>
      </c>
      <c r="F127" s="87" t="s">
        <v>310</v>
      </c>
      <c r="G127" s="158">
        <v>-7.6952999999999994E-2</v>
      </c>
      <c r="H127" s="92">
        <f>0.805+(1.045)</f>
        <v>1.85</v>
      </c>
      <c r="I127" s="84">
        <v>-1</v>
      </c>
      <c r="J127" s="84">
        <v>1</v>
      </c>
      <c r="K127" s="85" t="s">
        <v>1648</v>
      </c>
      <c r="L127" s="88">
        <v>199</v>
      </c>
      <c r="M127" s="110"/>
      <c r="O127" s="90"/>
    </row>
    <row r="128" spans="1:15" ht="33" customHeight="1" outlineLevel="1" x14ac:dyDescent="0.35">
      <c r="A128" s="82">
        <v>125</v>
      </c>
      <c r="B128" s="87" t="s">
        <v>622</v>
      </c>
      <c r="C128" s="96" t="s">
        <v>830</v>
      </c>
      <c r="D128" s="87" t="s">
        <v>849</v>
      </c>
      <c r="E128" s="96" t="s">
        <v>674</v>
      </c>
      <c r="F128" s="87" t="s">
        <v>310</v>
      </c>
      <c r="G128" s="158">
        <v>0.29060000000000002</v>
      </c>
      <c r="H128" s="84">
        <v>-0.42</v>
      </c>
      <c r="I128" s="100">
        <v>1E-3</v>
      </c>
      <c r="J128" s="84">
        <v>1</v>
      </c>
      <c r="K128" s="85" t="s">
        <v>1648</v>
      </c>
      <c r="L128" s="88">
        <v>197</v>
      </c>
      <c r="M128" s="110"/>
      <c r="O128" s="90"/>
    </row>
    <row r="129" spans="1:15" ht="33" customHeight="1" outlineLevel="1" x14ac:dyDescent="0.35">
      <c r="A129" s="82">
        <v>126</v>
      </c>
      <c r="B129" s="87" t="s">
        <v>622</v>
      </c>
      <c r="C129" s="96" t="s">
        <v>830</v>
      </c>
      <c r="D129" s="87" t="s">
        <v>850</v>
      </c>
      <c r="E129" s="96" t="s">
        <v>674</v>
      </c>
      <c r="F129" s="87" t="s">
        <v>310</v>
      </c>
      <c r="G129" s="159">
        <v>1.011947907407293</v>
      </c>
      <c r="H129" s="109">
        <v>0.72</v>
      </c>
      <c r="I129" s="100">
        <v>1E-3</v>
      </c>
      <c r="J129" s="84">
        <v>1</v>
      </c>
      <c r="K129" s="85" t="s">
        <v>1648</v>
      </c>
      <c r="L129" s="88">
        <v>197</v>
      </c>
      <c r="M129" s="110"/>
      <c r="O129" s="90"/>
    </row>
    <row r="130" spans="1:15" ht="46.5" x14ac:dyDescent="0.35">
      <c r="A130" s="82">
        <v>127</v>
      </c>
      <c r="B130" s="82" t="s">
        <v>622</v>
      </c>
      <c r="C130" s="96" t="s">
        <v>851</v>
      </c>
      <c r="D130" s="82" t="s">
        <v>852</v>
      </c>
      <c r="E130" s="96" t="s">
        <v>633</v>
      </c>
      <c r="F130" s="82" t="s">
        <v>310</v>
      </c>
      <c r="G130" s="158">
        <v>-2.1493000000000002E-2</v>
      </c>
      <c r="H130" s="92">
        <v>3.6799999999999999E-2</v>
      </c>
      <c r="I130" s="100">
        <v>-1</v>
      </c>
      <c r="J130" s="84">
        <v>0</v>
      </c>
      <c r="K130" s="85" t="s">
        <v>1648</v>
      </c>
      <c r="L130" s="88">
        <v>194</v>
      </c>
      <c r="M130" s="86" t="s">
        <v>853</v>
      </c>
      <c r="O130" s="90"/>
    </row>
    <row r="131" spans="1:15" ht="31" outlineLevel="1" x14ac:dyDescent="0.35">
      <c r="A131" s="82">
        <v>128</v>
      </c>
      <c r="B131" s="82" t="s">
        <v>622</v>
      </c>
      <c r="C131" s="96" t="s">
        <v>851</v>
      </c>
      <c r="D131" s="82" t="s">
        <v>854</v>
      </c>
      <c r="E131" s="96" t="s">
        <v>636</v>
      </c>
      <c r="F131" s="82" t="s">
        <v>310</v>
      </c>
      <c r="G131" s="158">
        <v>0.215033</v>
      </c>
      <c r="H131" s="92">
        <f>0.001+0.0368</f>
        <v>3.78E-2</v>
      </c>
      <c r="I131" s="84">
        <v>-1</v>
      </c>
      <c r="J131" s="84">
        <v>1</v>
      </c>
      <c r="K131" s="85" t="s">
        <v>1648</v>
      </c>
      <c r="L131" s="88">
        <v>194</v>
      </c>
      <c r="M131" s="86" t="s">
        <v>855</v>
      </c>
      <c r="O131" s="90"/>
    </row>
    <row r="132" spans="1:15" ht="31" outlineLevel="1" x14ac:dyDescent="0.35">
      <c r="A132" s="82">
        <v>129</v>
      </c>
      <c r="B132" s="82" t="s">
        <v>622</v>
      </c>
      <c r="C132" s="96" t="s">
        <v>851</v>
      </c>
      <c r="D132" s="82" t="s">
        <v>856</v>
      </c>
      <c r="E132" s="96" t="s">
        <v>753</v>
      </c>
      <c r="F132" s="82" t="s">
        <v>310</v>
      </c>
      <c r="G132" s="158">
        <v>-9.7073000000000007E-2</v>
      </c>
      <c r="H132" s="92">
        <v>0.249</v>
      </c>
      <c r="I132" s="84">
        <v>0</v>
      </c>
      <c r="J132" s="84">
        <v>1</v>
      </c>
      <c r="K132" s="85" t="s">
        <v>1648</v>
      </c>
      <c r="L132" s="88">
        <v>194</v>
      </c>
      <c r="M132" s="112" t="s">
        <v>857</v>
      </c>
      <c r="O132" s="90"/>
    </row>
    <row r="133" spans="1:15" ht="46.5" outlineLevel="1" x14ac:dyDescent="0.35">
      <c r="A133" s="82">
        <v>130</v>
      </c>
      <c r="B133" s="82" t="s">
        <v>622</v>
      </c>
      <c r="C133" s="96" t="s">
        <v>851</v>
      </c>
      <c r="D133" s="82" t="s">
        <v>858</v>
      </c>
      <c r="E133" s="96" t="s">
        <v>633</v>
      </c>
      <c r="F133" s="82" t="s">
        <v>310</v>
      </c>
      <c r="G133" s="158">
        <v>-0.34123300000000001</v>
      </c>
      <c r="H133" s="92">
        <v>-8.5819999999999994E-2</v>
      </c>
      <c r="I133" s="100">
        <v>-1</v>
      </c>
      <c r="J133" s="84">
        <v>0</v>
      </c>
      <c r="K133" s="85" t="s">
        <v>1648</v>
      </c>
      <c r="L133" s="88">
        <v>196</v>
      </c>
      <c r="M133" s="86" t="s">
        <v>859</v>
      </c>
      <c r="O133" s="90"/>
    </row>
    <row r="134" spans="1:15" ht="31" outlineLevel="1" x14ac:dyDescent="0.35">
      <c r="A134" s="82">
        <v>131</v>
      </c>
      <c r="B134" s="82" t="s">
        <v>622</v>
      </c>
      <c r="C134" s="96" t="s">
        <v>851</v>
      </c>
      <c r="D134" s="82" t="s">
        <v>860</v>
      </c>
      <c r="E134" s="96" t="s">
        <v>636</v>
      </c>
      <c r="F134" s="82" t="s">
        <v>310</v>
      </c>
      <c r="G134" s="158">
        <v>-0.34115499999999999</v>
      </c>
      <c r="H134" s="92">
        <f>0.00462-(0.08582)</f>
        <v>-8.1199999999999994E-2</v>
      </c>
      <c r="I134" s="84">
        <v>-1</v>
      </c>
      <c r="J134" s="84">
        <v>1</v>
      </c>
      <c r="K134" s="85" t="s">
        <v>1648</v>
      </c>
      <c r="L134" s="88">
        <v>196</v>
      </c>
      <c r="M134" s="86" t="s">
        <v>855</v>
      </c>
      <c r="O134" s="90"/>
    </row>
    <row r="135" spans="1:15" ht="31" outlineLevel="1" x14ac:dyDescent="0.35">
      <c r="A135" s="82">
        <v>132</v>
      </c>
      <c r="B135" s="82" t="s">
        <v>622</v>
      </c>
      <c r="C135" s="96" t="s">
        <v>851</v>
      </c>
      <c r="D135" s="82" t="s">
        <v>861</v>
      </c>
      <c r="E135" s="96" t="s">
        <v>653</v>
      </c>
      <c r="F135" s="82" t="s">
        <v>310</v>
      </c>
      <c r="G135" s="158">
        <v>0.82677800000000001</v>
      </c>
      <c r="H135" s="92">
        <v>0.87080000000000002</v>
      </c>
      <c r="I135" s="84">
        <v>1E-3</v>
      </c>
      <c r="J135" s="84">
        <v>1</v>
      </c>
      <c r="K135" s="85" t="s">
        <v>1648</v>
      </c>
      <c r="L135" s="88">
        <v>196</v>
      </c>
      <c r="M135" s="112" t="s">
        <v>862</v>
      </c>
      <c r="O135" s="90"/>
    </row>
    <row r="136" spans="1:15" ht="46.5" outlineLevel="1" x14ac:dyDescent="0.35">
      <c r="A136" s="82">
        <v>133</v>
      </c>
      <c r="B136" s="82" t="s">
        <v>622</v>
      </c>
      <c r="C136" s="96" t="s">
        <v>851</v>
      </c>
      <c r="D136" s="82" t="s">
        <v>863</v>
      </c>
      <c r="E136" s="96" t="s">
        <v>633</v>
      </c>
      <c r="F136" s="82" t="s">
        <v>310</v>
      </c>
      <c r="G136" s="88" t="s">
        <v>416</v>
      </c>
      <c r="H136" s="105" t="s">
        <v>416</v>
      </c>
      <c r="I136" s="100">
        <v>-1</v>
      </c>
      <c r="J136" s="84">
        <v>0</v>
      </c>
      <c r="K136" s="85"/>
      <c r="L136" s="88" t="s">
        <v>416</v>
      </c>
      <c r="M136" s="86" t="s">
        <v>864</v>
      </c>
      <c r="O136" s="90"/>
    </row>
    <row r="137" spans="1:15" ht="31" outlineLevel="1" x14ac:dyDescent="0.35">
      <c r="A137" s="82">
        <v>134</v>
      </c>
      <c r="B137" s="82" t="s">
        <v>622</v>
      </c>
      <c r="C137" s="96" t="s">
        <v>851</v>
      </c>
      <c r="D137" s="82" t="s">
        <v>865</v>
      </c>
      <c r="E137" s="96" t="s">
        <v>636</v>
      </c>
      <c r="F137" s="82" t="s">
        <v>310</v>
      </c>
      <c r="G137" s="88" t="s">
        <v>416</v>
      </c>
      <c r="H137" s="105" t="s">
        <v>416</v>
      </c>
      <c r="I137" s="84">
        <v>-1</v>
      </c>
      <c r="J137" s="84">
        <v>1</v>
      </c>
      <c r="K137" s="85"/>
      <c r="L137" s="88" t="s">
        <v>416</v>
      </c>
      <c r="M137" s="86" t="s">
        <v>855</v>
      </c>
      <c r="O137" s="90"/>
    </row>
    <row r="138" spans="1:15" ht="31" outlineLevel="1" x14ac:dyDescent="0.35">
      <c r="A138" s="82">
        <v>135</v>
      </c>
      <c r="B138" s="82" t="s">
        <v>622</v>
      </c>
      <c r="C138" s="96" t="s">
        <v>851</v>
      </c>
      <c r="D138" s="82" t="s">
        <v>866</v>
      </c>
      <c r="E138" s="96" t="s">
        <v>669</v>
      </c>
      <c r="F138" s="82" t="s">
        <v>310</v>
      </c>
      <c r="G138" s="88" t="s">
        <v>416</v>
      </c>
      <c r="H138" s="105" t="s">
        <v>416</v>
      </c>
      <c r="I138" s="84">
        <v>1E-3</v>
      </c>
      <c r="J138" s="84">
        <v>1</v>
      </c>
      <c r="K138" s="85"/>
      <c r="L138" s="88" t="s">
        <v>416</v>
      </c>
      <c r="M138" s="112" t="s">
        <v>867</v>
      </c>
      <c r="O138" s="90"/>
    </row>
    <row r="139" spans="1:15" ht="46.5" outlineLevel="1" x14ac:dyDescent="0.35">
      <c r="A139" s="82">
        <v>136</v>
      </c>
      <c r="B139" s="82" t="s">
        <v>622</v>
      </c>
      <c r="C139" s="96" t="s">
        <v>851</v>
      </c>
      <c r="D139" s="82" t="s">
        <v>868</v>
      </c>
      <c r="E139" s="96" t="s">
        <v>633</v>
      </c>
      <c r="F139" s="82" t="s">
        <v>310</v>
      </c>
      <c r="G139" s="158">
        <v>-0.50697700000000001</v>
      </c>
      <c r="H139" s="92">
        <v>1.0475000000000001</v>
      </c>
      <c r="I139" s="100">
        <v>-1</v>
      </c>
      <c r="J139" s="84">
        <v>0</v>
      </c>
      <c r="K139" s="85" t="s">
        <v>1648</v>
      </c>
      <c r="L139" s="88">
        <v>195</v>
      </c>
      <c r="M139" s="86" t="s">
        <v>869</v>
      </c>
      <c r="O139" s="90"/>
    </row>
    <row r="140" spans="1:15" ht="31" outlineLevel="1" x14ac:dyDescent="0.35">
      <c r="A140" s="82">
        <v>137</v>
      </c>
      <c r="B140" s="82" t="s">
        <v>622</v>
      </c>
      <c r="C140" s="96" t="s">
        <v>851</v>
      </c>
      <c r="D140" s="82" t="s">
        <v>870</v>
      </c>
      <c r="E140" s="96" t="s">
        <v>636</v>
      </c>
      <c r="F140" s="82" t="s">
        <v>310</v>
      </c>
      <c r="G140" s="158">
        <v>0.24177899999999999</v>
      </c>
      <c r="H140" s="92">
        <f>0.795+(1.0475)</f>
        <v>1.8425000000000002</v>
      </c>
      <c r="I140" s="84">
        <v>-1</v>
      </c>
      <c r="J140" s="84">
        <v>1</v>
      </c>
      <c r="K140" s="85" t="s">
        <v>1648</v>
      </c>
      <c r="L140" s="88">
        <v>195</v>
      </c>
      <c r="M140" s="86" t="s">
        <v>855</v>
      </c>
      <c r="O140" s="90"/>
    </row>
    <row r="141" spans="1:15" ht="31" outlineLevel="1" x14ac:dyDescent="0.35">
      <c r="A141" s="82">
        <v>138</v>
      </c>
      <c r="B141" s="82" t="s">
        <v>622</v>
      </c>
      <c r="C141" s="96" t="s">
        <v>851</v>
      </c>
      <c r="D141" s="82" t="s">
        <v>871</v>
      </c>
      <c r="E141" s="96" t="s">
        <v>674</v>
      </c>
      <c r="F141" s="82" t="s">
        <v>310</v>
      </c>
      <c r="G141" s="158">
        <v>-89.472198000000006</v>
      </c>
      <c r="H141" s="84">
        <v>-0.68620000000000003</v>
      </c>
      <c r="I141" s="100">
        <v>1E-3</v>
      </c>
      <c r="J141" s="84">
        <v>1</v>
      </c>
      <c r="K141" s="85" t="s">
        <v>1648</v>
      </c>
      <c r="L141" s="88">
        <v>193</v>
      </c>
      <c r="M141" s="86" t="s">
        <v>855</v>
      </c>
      <c r="O141" s="90"/>
    </row>
    <row r="142" spans="1:15" ht="31" outlineLevel="1" x14ac:dyDescent="0.35">
      <c r="A142" s="82">
        <v>139</v>
      </c>
      <c r="B142" s="82" t="s">
        <v>622</v>
      </c>
      <c r="C142" s="96" t="s">
        <v>851</v>
      </c>
      <c r="D142" s="82" t="s">
        <v>872</v>
      </c>
      <c r="E142" s="96" t="s">
        <v>674</v>
      </c>
      <c r="F142" s="82" t="s">
        <v>310</v>
      </c>
      <c r="G142" s="159">
        <v>0.87111930473959764</v>
      </c>
      <c r="H142" s="109">
        <v>0.99</v>
      </c>
      <c r="I142" s="100">
        <v>1E-3</v>
      </c>
      <c r="J142" s="84">
        <v>1</v>
      </c>
      <c r="K142" s="85" t="s">
        <v>1648</v>
      </c>
      <c r="L142" s="88">
        <v>193</v>
      </c>
      <c r="M142" s="86" t="s">
        <v>855</v>
      </c>
      <c r="O142" s="90"/>
    </row>
    <row r="143" spans="1:15" ht="46.5" x14ac:dyDescent="0.35">
      <c r="A143" s="82">
        <v>140</v>
      </c>
      <c r="B143" s="82" t="s">
        <v>622</v>
      </c>
      <c r="C143" s="96"/>
      <c r="D143" s="82" t="s">
        <v>873</v>
      </c>
      <c r="E143" s="82"/>
      <c r="F143" s="82" t="s">
        <v>276</v>
      </c>
      <c r="G143" s="92" t="s">
        <v>550</v>
      </c>
      <c r="H143" s="102" t="s">
        <v>277</v>
      </c>
      <c r="I143" s="84" t="s">
        <v>416</v>
      </c>
      <c r="J143" s="84" t="s">
        <v>416</v>
      </c>
      <c r="K143" s="85" t="s">
        <v>874</v>
      </c>
      <c r="L143" s="83" t="s">
        <v>875</v>
      </c>
      <c r="M143" s="86" t="s">
        <v>876</v>
      </c>
      <c r="O143" s="90"/>
    </row>
    <row r="144" spans="1:15" ht="46.5" x14ac:dyDescent="0.35">
      <c r="A144" s="82">
        <v>141</v>
      </c>
      <c r="B144" s="82" t="s">
        <v>622</v>
      </c>
      <c r="C144" s="96"/>
      <c r="D144" s="82" t="s">
        <v>877</v>
      </c>
      <c r="E144" s="82"/>
      <c r="F144" s="82" t="s">
        <v>310</v>
      </c>
      <c r="G144" s="92" t="s">
        <v>1647</v>
      </c>
      <c r="H144" s="92">
        <v>0.9</v>
      </c>
      <c r="I144" s="84" t="s">
        <v>416</v>
      </c>
      <c r="J144" s="84" t="s">
        <v>416</v>
      </c>
      <c r="K144" s="85" t="s">
        <v>874</v>
      </c>
      <c r="L144" s="83" t="s">
        <v>878</v>
      </c>
      <c r="M144" s="86" t="s">
        <v>879</v>
      </c>
      <c r="O144" s="90"/>
    </row>
    <row r="145" spans="1:15" ht="31" x14ac:dyDescent="0.35">
      <c r="A145" s="82">
        <v>142</v>
      </c>
      <c r="B145" s="82" t="s">
        <v>622</v>
      </c>
      <c r="C145" s="96"/>
      <c r="D145" s="82" t="s">
        <v>880</v>
      </c>
      <c r="E145" s="82"/>
      <c r="F145" s="82" t="s">
        <v>310</v>
      </c>
      <c r="G145" s="92" t="s">
        <v>156</v>
      </c>
      <c r="H145" s="92" t="s">
        <v>416</v>
      </c>
      <c r="I145" s="84" t="s">
        <v>416</v>
      </c>
      <c r="J145" s="84" t="s">
        <v>416</v>
      </c>
      <c r="K145" s="85" t="s">
        <v>874</v>
      </c>
      <c r="L145" s="83" t="s">
        <v>878</v>
      </c>
      <c r="M145" s="86" t="s">
        <v>881</v>
      </c>
      <c r="O145" s="90"/>
    </row>
    <row r="146" spans="1:15" ht="46.5" x14ac:dyDescent="0.35">
      <c r="A146" s="82">
        <v>143</v>
      </c>
      <c r="B146" s="82" t="s">
        <v>622</v>
      </c>
      <c r="C146" s="96"/>
      <c r="D146" s="82" t="s">
        <v>882</v>
      </c>
      <c r="E146" s="82"/>
      <c r="F146" s="82" t="s">
        <v>218</v>
      </c>
      <c r="G146" s="92" t="s">
        <v>609</v>
      </c>
      <c r="H146" s="84">
        <v>0.06</v>
      </c>
      <c r="I146" s="84">
        <v>0</v>
      </c>
      <c r="J146" s="84">
        <v>0</v>
      </c>
      <c r="K146" s="85" t="s">
        <v>874</v>
      </c>
      <c r="L146" s="83" t="s">
        <v>883</v>
      </c>
      <c r="M146" s="86" t="s">
        <v>884</v>
      </c>
      <c r="O146" s="90"/>
    </row>
    <row r="147" spans="1:15" ht="31" x14ac:dyDescent="0.35">
      <c r="A147" s="82">
        <v>144</v>
      </c>
      <c r="B147" s="82" t="s">
        <v>622</v>
      </c>
      <c r="C147" s="96"/>
      <c r="D147" s="82" t="s">
        <v>885</v>
      </c>
      <c r="E147" s="82"/>
      <c r="F147" s="82" t="s">
        <v>218</v>
      </c>
      <c r="G147" s="92" t="s">
        <v>589</v>
      </c>
      <c r="H147" s="92">
        <v>0.05</v>
      </c>
      <c r="I147" s="84">
        <v>0</v>
      </c>
      <c r="J147" s="84">
        <v>0</v>
      </c>
      <c r="K147" s="85" t="s">
        <v>874</v>
      </c>
      <c r="L147" s="83" t="s">
        <v>886</v>
      </c>
      <c r="M147" s="86" t="s">
        <v>887</v>
      </c>
      <c r="O147" s="90"/>
    </row>
    <row r="148" spans="1:15" ht="31" x14ac:dyDescent="0.35">
      <c r="A148" s="82">
        <v>145</v>
      </c>
      <c r="B148" s="82" t="s">
        <v>622</v>
      </c>
      <c r="C148" s="96"/>
      <c r="D148" s="82" t="s">
        <v>888</v>
      </c>
      <c r="E148" s="82"/>
      <c r="F148" s="82" t="s">
        <v>218</v>
      </c>
      <c r="G148" s="92" t="s">
        <v>589</v>
      </c>
      <c r="H148" s="92">
        <v>7.0000000000000007E-2</v>
      </c>
      <c r="I148" s="84">
        <v>0</v>
      </c>
      <c r="J148" s="84">
        <v>0</v>
      </c>
      <c r="K148" s="85" t="s">
        <v>874</v>
      </c>
      <c r="L148" s="83" t="s">
        <v>886</v>
      </c>
      <c r="M148" s="86" t="s">
        <v>889</v>
      </c>
      <c r="O148" s="90"/>
    </row>
    <row r="149" spans="1:15" ht="31" x14ac:dyDescent="0.35">
      <c r="A149" s="82">
        <v>146</v>
      </c>
      <c r="B149" s="82" t="s">
        <v>622</v>
      </c>
      <c r="C149" s="96"/>
      <c r="D149" s="82" t="s">
        <v>890</v>
      </c>
      <c r="E149" s="82"/>
      <c r="F149" s="82" t="s">
        <v>891</v>
      </c>
      <c r="G149" s="92" t="s">
        <v>589</v>
      </c>
      <c r="H149" s="92"/>
      <c r="I149" s="84">
        <v>0</v>
      </c>
      <c r="J149" s="84">
        <v>0</v>
      </c>
      <c r="K149" s="85" t="s">
        <v>874</v>
      </c>
      <c r="L149" s="83" t="s">
        <v>886</v>
      </c>
      <c r="M149" s="86" t="s">
        <v>892</v>
      </c>
      <c r="O149" s="90"/>
    </row>
    <row r="150" spans="1:15" ht="46.5" x14ac:dyDescent="0.35">
      <c r="A150" s="82">
        <v>147</v>
      </c>
      <c r="B150" s="82" t="s">
        <v>622</v>
      </c>
      <c r="C150" s="96"/>
      <c r="D150" s="82" t="s">
        <v>893</v>
      </c>
      <c r="E150" s="82"/>
      <c r="F150" s="82" t="s">
        <v>891</v>
      </c>
      <c r="G150" s="92" t="s">
        <v>894</v>
      </c>
      <c r="H150" s="92">
        <v>2</v>
      </c>
      <c r="I150" s="84">
        <v>0</v>
      </c>
      <c r="J150" s="84">
        <v>0</v>
      </c>
      <c r="K150" s="85" t="s">
        <v>895</v>
      </c>
      <c r="L150" s="83" t="s">
        <v>593</v>
      </c>
      <c r="M150" s="86" t="s">
        <v>896</v>
      </c>
      <c r="O150" s="90"/>
    </row>
    <row r="151" spans="1:15" ht="46.5" x14ac:dyDescent="0.35">
      <c r="A151" s="82">
        <v>148</v>
      </c>
      <c r="B151" s="82" t="s">
        <v>622</v>
      </c>
      <c r="C151" s="96"/>
      <c r="D151" s="82" t="s">
        <v>897</v>
      </c>
      <c r="E151" s="82"/>
      <c r="F151" s="82" t="s">
        <v>276</v>
      </c>
      <c r="G151" s="92" t="s">
        <v>277</v>
      </c>
      <c r="H151" s="92" t="s">
        <v>277</v>
      </c>
      <c r="I151" s="84" t="s">
        <v>416</v>
      </c>
      <c r="J151" s="84" t="s">
        <v>416</v>
      </c>
      <c r="K151" s="85"/>
      <c r="L151" s="83" t="s">
        <v>556</v>
      </c>
      <c r="M151" s="86" t="s">
        <v>898</v>
      </c>
      <c r="O151" s="90"/>
    </row>
    <row r="152" spans="1:15" ht="46.5" x14ac:dyDescent="0.35">
      <c r="A152" s="82">
        <v>149</v>
      </c>
      <c r="B152" s="82" t="s">
        <v>622</v>
      </c>
      <c r="C152" s="96"/>
      <c r="D152" s="82" t="s">
        <v>899</v>
      </c>
      <c r="E152" s="82" t="s">
        <v>900</v>
      </c>
      <c r="F152" s="82" t="s">
        <v>310</v>
      </c>
      <c r="G152" s="92">
        <v>1</v>
      </c>
      <c r="H152" s="92">
        <v>1</v>
      </c>
      <c r="I152" s="84">
        <v>1E-4</v>
      </c>
      <c r="J152" s="84">
        <v>1E-4</v>
      </c>
      <c r="K152" s="85"/>
      <c r="L152" s="88"/>
      <c r="M152" s="86" t="s">
        <v>901</v>
      </c>
      <c r="O152" s="90"/>
    </row>
    <row r="153" spans="1:15" ht="31" x14ac:dyDescent="0.35">
      <c r="A153" s="82">
        <v>150</v>
      </c>
      <c r="B153" s="82" t="s">
        <v>622</v>
      </c>
      <c r="C153" s="96"/>
      <c r="D153" s="82" t="s">
        <v>902</v>
      </c>
      <c r="E153" s="82" t="s">
        <v>903</v>
      </c>
      <c r="F153" s="82" t="s">
        <v>310</v>
      </c>
      <c r="G153" s="92">
        <v>1</v>
      </c>
      <c r="H153" s="92">
        <v>1</v>
      </c>
      <c r="I153" s="84">
        <v>1E-4</v>
      </c>
      <c r="J153" s="84">
        <v>1E-4</v>
      </c>
      <c r="K153" s="85"/>
      <c r="L153" s="88"/>
      <c r="M153" s="86" t="s">
        <v>904</v>
      </c>
      <c r="O153" s="90"/>
    </row>
    <row r="154" spans="1:15" ht="31" x14ac:dyDescent="0.35">
      <c r="A154" s="82">
        <v>151</v>
      </c>
      <c r="B154" s="82" t="s">
        <v>622</v>
      </c>
      <c r="C154" s="96"/>
      <c r="D154" s="82" t="s">
        <v>905</v>
      </c>
      <c r="E154" s="82"/>
      <c r="F154" s="82" t="s">
        <v>310</v>
      </c>
      <c r="G154" s="92">
        <v>1</v>
      </c>
      <c r="H154" s="92">
        <v>0.06</v>
      </c>
      <c r="I154" s="84">
        <v>1E-4</v>
      </c>
      <c r="J154" s="84">
        <v>1E-4</v>
      </c>
      <c r="K154" s="85"/>
      <c r="L154" s="88"/>
      <c r="M154" s="86" t="s">
        <v>906</v>
      </c>
      <c r="O154" s="90"/>
    </row>
    <row r="155" spans="1:15" x14ac:dyDescent="0.35">
      <c r="A155" s="82">
        <v>152</v>
      </c>
      <c r="B155" s="82" t="s">
        <v>622</v>
      </c>
      <c r="C155" s="96"/>
      <c r="D155" s="82" t="s">
        <v>907</v>
      </c>
      <c r="E155" s="82"/>
      <c r="F155" s="82" t="s">
        <v>310</v>
      </c>
      <c r="G155" s="92">
        <v>1</v>
      </c>
      <c r="H155" s="92">
        <v>0.08</v>
      </c>
      <c r="I155" s="84">
        <v>1E-4</v>
      </c>
      <c r="J155" s="84">
        <v>1E-4</v>
      </c>
      <c r="K155" s="85"/>
      <c r="L155" s="88"/>
      <c r="M155" s="86" t="s">
        <v>908</v>
      </c>
      <c r="O155" s="90"/>
    </row>
    <row r="156" spans="1:15" x14ac:dyDescent="0.35">
      <c r="A156" s="82">
        <v>153</v>
      </c>
      <c r="B156" s="82" t="s">
        <v>622</v>
      </c>
      <c r="C156" s="96"/>
      <c r="D156" s="82" t="s">
        <v>909</v>
      </c>
      <c r="E156" s="82"/>
      <c r="F156" s="82" t="s">
        <v>310</v>
      </c>
      <c r="G156" s="92">
        <v>1</v>
      </c>
      <c r="H156" s="92">
        <v>0.08</v>
      </c>
      <c r="I156" s="84">
        <v>1E-4</v>
      </c>
      <c r="J156" s="84">
        <v>1E-4</v>
      </c>
      <c r="K156" s="85"/>
      <c r="L156" s="88"/>
      <c r="M156" s="86" t="s">
        <v>910</v>
      </c>
      <c r="O156" s="90"/>
    </row>
    <row r="157" spans="1:15" ht="46.5" x14ac:dyDescent="0.35">
      <c r="A157" s="82">
        <v>154</v>
      </c>
      <c r="B157" s="82" t="s">
        <v>622</v>
      </c>
      <c r="C157" s="96"/>
      <c r="D157" s="82" t="s">
        <v>911</v>
      </c>
      <c r="E157" s="82"/>
      <c r="F157" s="82" t="s">
        <v>276</v>
      </c>
      <c r="G157" s="92" t="s">
        <v>277</v>
      </c>
      <c r="H157" s="92" t="s">
        <v>277</v>
      </c>
      <c r="I157" s="84" t="s">
        <v>277</v>
      </c>
      <c r="J157" s="84" t="s">
        <v>277</v>
      </c>
      <c r="K157" s="85"/>
      <c r="L157" s="88"/>
      <c r="M157" s="86" t="s">
        <v>912</v>
      </c>
      <c r="O157" s="90"/>
    </row>
    <row r="158" spans="1:15" ht="31" x14ac:dyDescent="0.35">
      <c r="A158" s="82">
        <v>155</v>
      </c>
      <c r="B158" s="82" t="s">
        <v>622</v>
      </c>
      <c r="C158" s="96"/>
      <c r="D158" s="82" t="s">
        <v>913</v>
      </c>
      <c r="E158" s="82"/>
      <c r="F158" s="82" t="s">
        <v>310</v>
      </c>
      <c r="G158" s="92">
        <v>1</v>
      </c>
      <c r="H158" s="92">
        <v>1.1299999999999999</v>
      </c>
      <c r="I158" s="84">
        <v>1E-4</v>
      </c>
      <c r="J158" s="84">
        <v>1E-4</v>
      </c>
      <c r="K158" s="85"/>
      <c r="L158" s="88"/>
      <c r="M158" s="86" t="s">
        <v>914</v>
      </c>
      <c r="O158" s="90"/>
    </row>
    <row r="159" spans="1:15" ht="31" x14ac:dyDescent="0.35">
      <c r="A159" s="82">
        <v>156</v>
      </c>
      <c r="B159" s="82" t="s">
        <v>622</v>
      </c>
      <c r="C159" s="96"/>
      <c r="D159" s="82" t="s">
        <v>915</v>
      </c>
      <c r="E159" s="82"/>
      <c r="F159" s="82" t="s">
        <v>218</v>
      </c>
      <c r="G159" s="92">
        <v>1</v>
      </c>
      <c r="H159" s="92" t="s">
        <v>416</v>
      </c>
      <c r="I159" s="84">
        <v>1E-4</v>
      </c>
      <c r="J159" s="84">
        <v>1E-4</v>
      </c>
      <c r="K159" s="85"/>
      <c r="L159" s="88"/>
      <c r="M159" s="86" t="s">
        <v>916</v>
      </c>
      <c r="O159" s="90"/>
    </row>
    <row r="160" spans="1:15" ht="31" x14ac:dyDescent="0.35">
      <c r="A160" s="82">
        <v>157</v>
      </c>
      <c r="B160" s="82" t="s">
        <v>622</v>
      </c>
      <c r="C160" s="96"/>
      <c r="D160" s="82" t="s">
        <v>917</v>
      </c>
      <c r="E160" s="82"/>
      <c r="F160" s="82" t="s">
        <v>218</v>
      </c>
      <c r="G160" s="92">
        <v>2.5</v>
      </c>
      <c r="H160" s="92"/>
      <c r="I160" s="84">
        <v>1E-4</v>
      </c>
      <c r="J160" s="84">
        <v>1E-4</v>
      </c>
      <c r="K160" s="85"/>
      <c r="L160" s="88"/>
      <c r="M160" s="86" t="s">
        <v>918</v>
      </c>
      <c r="O160" s="90"/>
    </row>
    <row r="161" spans="1:15" ht="31" x14ac:dyDescent="0.35">
      <c r="A161" s="82">
        <v>158</v>
      </c>
      <c r="B161" s="82" t="s">
        <v>622</v>
      </c>
      <c r="C161" s="96"/>
      <c r="D161" s="82" t="s">
        <v>919</v>
      </c>
      <c r="E161" s="82"/>
      <c r="F161" s="82" t="s">
        <v>218</v>
      </c>
      <c r="G161" s="92">
        <v>2.6</v>
      </c>
      <c r="H161" s="92">
        <v>2</v>
      </c>
      <c r="I161" s="84">
        <v>1E-4</v>
      </c>
      <c r="J161" s="84">
        <v>1E-4</v>
      </c>
      <c r="K161" s="85"/>
      <c r="L161" s="88"/>
      <c r="M161" s="86" t="s">
        <v>920</v>
      </c>
      <c r="O161" s="90"/>
    </row>
    <row r="162" spans="1:15" ht="31" x14ac:dyDescent="0.35">
      <c r="A162" s="82">
        <v>159</v>
      </c>
      <c r="B162" s="82" t="s">
        <v>622</v>
      </c>
      <c r="C162" s="96"/>
      <c r="D162" s="82" t="s">
        <v>921</v>
      </c>
      <c r="E162" s="82"/>
      <c r="F162" s="82" t="s">
        <v>218</v>
      </c>
      <c r="G162" s="92">
        <v>1.2</v>
      </c>
      <c r="H162" s="92"/>
      <c r="I162" s="84">
        <v>1E-4</v>
      </c>
      <c r="J162" s="84">
        <v>1E-4</v>
      </c>
      <c r="K162" s="85"/>
      <c r="L162" s="88"/>
      <c r="M162" s="86" t="s">
        <v>922</v>
      </c>
      <c r="O162" s="90"/>
    </row>
    <row r="163" spans="1:15" ht="31" x14ac:dyDescent="0.35">
      <c r="A163" s="82">
        <v>160</v>
      </c>
      <c r="B163" s="82" t="s">
        <v>622</v>
      </c>
      <c r="C163" s="96"/>
      <c r="D163" s="82" t="s">
        <v>923</v>
      </c>
      <c r="E163" s="82"/>
      <c r="F163" s="82" t="s">
        <v>276</v>
      </c>
      <c r="G163" s="92" t="s">
        <v>277</v>
      </c>
      <c r="H163" s="92" t="s">
        <v>277</v>
      </c>
      <c r="I163" s="84" t="s">
        <v>416</v>
      </c>
      <c r="J163" s="84" t="s">
        <v>416</v>
      </c>
      <c r="K163" s="85"/>
      <c r="L163" s="88"/>
      <c r="M163" s="86" t="s">
        <v>924</v>
      </c>
      <c r="O163" s="90"/>
    </row>
    <row r="164" spans="1:15" ht="46.5" x14ac:dyDescent="0.35">
      <c r="A164" s="82">
        <v>161</v>
      </c>
      <c r="B164" s="82" t="s">
        <v>925</v>
      </c>
      <c r="C164" s="96"/>
      <c r="D164" s="82" t="s">
        <v>926</v>
      </c>
      <c r="E164" s="96" t="s">
        <v>927</v>
      </c>
      <c r="F164" s="82" t="s">
        <v>310</v>
      </c>
      <c r="G164" s="94">
        <v>0.1</v>
      </c>
      <c r="H164" s="94">
        <v>0.05</v>
      </c>
      <c r="I164" s="84">
        <v>1E-4</v>
      </c>
      <c r="J164" s="84">
        <v>1E-4</v>
      </c>
      <c r="K164" s="85"/>
      <c r="L164" s="88"/>
      <c r="M164" s="86" t="s">
        <v>928</v>
      </c>
      <c r="O164" s="90"/>
    </row>
    <row r="165" spans="1:15" ht="46.5" x14ac:dyDescent="0.35">
      <c r="A165" s="82">
        <v>162</v>
      </c>
      <c r="B165" s="82" t="s">
        <v>925</v>
      </c>
      <c r="C165" s="96"/>
      <c r="D165" s="82" t="s">
        <v>929</v>
      </c>
      <c r="E165" s="96" t="s">
        <v>927</v>
      </c>
      <c r="F165" s="82" t="s">
        <v>310</v>
      </c>
      <c r="G165" s="94">
        <v>0.1</v>
      </c>
      <c r="H165" s="92">
        <v>0</v>
      </c>
      <c r="I165" s="84">
        <v>1E-4</v>
      </c>
      <c r="J165" s="84">
        <v>1E-4</v>
      </c>
      <c r="K165" s="85"/>
      <c r="L165" s="88"/>
      <c r="M165" s="86" t="s">
        <v>930</v>
      </c>
      <c r="O165" s="90"/>
    </row>
    <row r="166" spans="1:15" ht="46.5" x14ac:dyDescent="0.35">
      <c r="A166" s="82">
        <v>163</v>
      </c>
      <c r="B166" s="82" t="s">
        <v>925</v>
      </c>
      <c r="C166" s="96"/>
      <c r="D166" s="82" t="s">
        <v>931</v>
      </c>
      <c r="E166" s="96" t="s">
        <v>927</v>
      </c>
      <c r="F166" s="82" t="s">
        <v>310</v>
      </c>
      <c r="G166" s="92">
        <v>1</v>
      </c>
      <c r="H166" s="92">
        <v>1</v>
      </c>
      <c r="I166" s="84">
        <v>1E-4</v>
      </c>
      <c r="J166" s="84">
        <v>1E-4</v>
      </c>
      <c r="K166" s="85"/>
      <c r="L166" s="88"/>
      <c r="M166" s="86" t="s">
        <v>932</v>
      </c>
      <c r="O166" s="90"/>
    </row>
    <row r="167" spans="1:15" ht="31" x14ac:dyDescent="0.35">
      <c r="A167" s="82">
        <v>164</v>
      </c>
      <c r="B167" s="82" t="s">
        <v>925</v>
      </c>
      <c r="C167" s="96"/>
      <c r="D167" s="82" t="s">
        <v>933</v>
      </c>
      <c r="E167" s="96" t="s">
        <v>927</v>
      </c>
      <c r="F167" s="82" t="s">
        <v>310</v>
      </c>
      <c r="G167" s="92">
        <v>1</v>
      </c>
      <c r="H167" s="92">
        <v>1</v>
      </c>
      <c r="I167" s="84">
        <v>1E-4</v>
      </c>
      <c r="J167" s="84">
        <v>1E-4</v>
      </c>
      <c r="K167" s="85"/>
      <c r="L167" s="88"/>
      <c r="M167" s="86" t="s">
        <v>934</v>
      </c>
      <c r="O167" s="90"/>
    </row>
    <row r="168" spans="1:15" ht="31" x14ac:dyDescent="0.35">
      <c r="A168" s="82">
        <v>165</v>
      </c>
      <c r="B168" s="82" t="s">
        <v>925</v>
      </c>
      <c r="C168" s="96"/>
      <c r="D168" s="82" t="s">
        <v>935</v>
      </c>
      <c r="E168" s="82"/>
      <c r="F168" s="82" t="s">
        <v>300</v>
      </c>
      <c r="G168" s="92">
        <v>1.5</v>
      </c>
      <c r="H168" s="92">
        <v>5</v>
      </c>
      <c r="I168" s="84">
        <v>1</v>
      </c>
      <c r="J168" s="84">
        <v>1</v>
      </c>
      <c r="K168" s="85"/>
      <c r="L168" s="88">
        <v>23</v>
      </c>
      <c r="M168" s="86" t="s">
        <v>936</v>
      </c>
      <c r="O168" s="90"/>
    </row>
    <row r="169" spans="1:15" ht="46.5" x14ac:dyDescent="0.35">
      <c r="A169" s="82">
        <v>166</v>
      </c>
      <c r="B169" s="82" t="s">
        <v>925</v>
      </c>
      <c r="C169" s="96"/>
      <c r="D169" s="82" t="s">
        <v>937</v>
      </c>
      <c r="E169" s="82"/>
      <c r="F169" s="82" t="s">
        <v>938</v>
      </c>
      <c r="G169" s="92" t="s">
        <v>939</v>
      </c>
      <c r="H169" s="92" t="s">
        <v>1649</v>
      </c>
      <c r="I169" s="84">
        <v>1E-4</v>
      </c>
      <c r="J169" s="84">
        <v>1E-4</v>
      </c>
      <c r="K169" s="85" t="s">
        <v>940</v>
      </c>
      <c r="L169" s="88">
        <v>23</v>
      </c>
      <c r="M169" s="86" t="s">
        <v>941</v>
      </c>
      <c r="O169" s="90"/>
    </row>
    <row r="170" spans="1:15" ht="46.5" x14ac:dyDescent="0.35">
      <c r="A170" s="82">
        <v>167</v>
      </c>
      <c r="B170" s="82" t="s">
        <v>925</v>
      </c>
      <c r="C170" s="96"/>
      <c r="D170" s="82" t="s">
        <v>942</v>
      </c>
      <c r="E170" s="82"/>
      <c r="F170" s="82" t="s">
        <v>938</v>
      </c>
      <c r="G170" s="92" t="s">
        <v>939</v>
      </c>
      <c r="H170" s="92" t="s">
        <v>1649</v>
      </c>
      <c r="I170" s="84">
        <v>1E-4</v>
      </c>
      <c r="J170" s="84">
        <v>1E-4</v>
      </c>
      <c r="K170" s="85" t="s">
        <v>940</v>
      </c>
      <c r="L170" s="88">
        <v>43</v>
      </c>
      <c r="M170" s="86" t="s">
        <v>943</v>
      </c>
      <c r="O170" s="90"/>
    </row>
    <row r="171" spans="1:15" ht="31" x14ac:dyDescent="0.35">
      <c r="A171" s="82">
        <v>168</v>
      </c>
      <c r="B171" s="82" t="s">
        <v>944</v>
      </c>
      <c r="C171" s="96"/>
      <c r="D171" s="82" t="s">
        <v>945</v>
      </c>
      <c r="E171" s="82"/>
      <c r="F171" s="82" t="s">
        <v>300</v>
      </c>
      <c r="G171" s="92">
        <v>1.5</v>
      </c>
      <c r="H171" s="92">
        <v>3</v>
      </c>
      <c r="I171" s="84">
        <v>1E-4</v>
      </c>
      <c r="J171" s="84">
        <v>1E-4</v>
      </c>
      <c r="K171" s="85"/>
      <c r="L171" s="88"/>
      <c r="M171" s="86" t="s">
        <v>946</v>
      </c>
      <c r="O171" s="90"/>
    </row>
    <row r="172" spans="1:15" ht="46.5" x14ac:dyDescent="0.35">
      <c r="A172" s="82">
        <v>169</v>
      </c>
      <c r="B172" s="82" t="s">
        <v>944</v>
      </c>
      <c r="C172" s="96"/>
      <c r="D172" s="82" t="s">
        <v>947</v>
      </c>
      <c r="E172" s="82"/>
      <c r="F172" s="82" t="s">
        <v>948</v>
      </c>
      <c r="G172" s="92">
        <v>90</v>
      </c>
      <c r="H172" s="92" t="s">
        <v>1638</v>
      </c>
      <c r="I172" s="84" t="s">
        <v>416</v>
      </c>
      <c r="J172" s="84" t="s">
        <v>416</v>
      </c>
      <c r="K172" s="85"/>
      <c r="L172" s="88"/>
      <c r="M172" s="86" t="s">
        <v>949</v>
      </c>
      <c r="O172" s="90"/>
    </row>
    <row r="173" spans="1:15" ht="31" x14ac:dyDescent="0.35">
      <c r="A173" s="82">
        <v>170</v>
      </c>
      <c r="B173" s="82" t="s">
        <v>944</v>
      </c>
      <c r="C173" s="96"/>
      <c r="D173" s="82" t="s">
        <v>950</v>
      </c>
      <c r="E173" s="82"/>
      <c r="F173" s="82" t="s">
        <v>948</v>
      </c>
      <c r="G173" s="92">
        <v>90</v>
      </c>
      <c r="H173" s="92" t="s">
        <v>1639</v>
      </c>
      <c r="I173" s="84" t="s">
        <v>416</v>
      </c>
      <c r="J173" s="84" t="s">
        <v>416</v>
      </c>
      <c r="K173" s="85"/>
      <c r="L173" s="88"/>
      <c r="M173" s="86" t="s">
        <v>951</v>
      </c>
      <c r="O173" s="90"/>
    </row>
    <row r="174" spans="1:15" ht="31" x14ac:dyDescent="0.35">
      <c r="A174" s="82">
        <v>171</v>
      </c>
      <c r="B174" s="82" t="s">
        <v>944</v>
      </c>
      <c r="C174" s="96"/>
      <c r="D174" s="82" t="s">
        <v>952</v>
      </c>
      <c r="E174" s="82"/>
      <c r="F174" s="82" t="s">
        <v>948</v>
      </c>
      <c r="G174" s="92">
        <v>90</v>
      </c>
      <c r="H174" s="92" t="s">
        <v>1640</v>
      </c>
      <c r="I174" s="84" t="s">
        <v>416</v>
      </c>
      <c r="J174" s="84" t="s">
        <v>416</v>
      </c>
      <c r="K174" s="85"/>
      <c r="L174" s="88"/>
      <c r="M174" s="86" t="s">
        <v>953</v>
      </c>
      <c r="O174" s="90"/>
    </row>
    <row r="175" spans="1:15" ht="46.5" x14ac:dyDescent="0.35">
      <c r="A175" s="82">
        <v>172</v>
      </c>
      <c r="B175" s="82" t="s">
        <v>954</v>
      </c>
      <c r="C175" s="96"/>
      <c r="D175" s="82" t="s">
        <v>955</v>
      </c>
      <c r="E175" s="82"/>
      <c r="F175" s="82" t="s">
        <v>956</v>
      </c>
      <c r="G175" s="92">
        <v>1</v>
      </c>
      <c r="H175" s="92">
        <v>15.29</v>
      </c>
      <c r="I175" s="84">
        <v>1E-4</v>
      </c>
      <c r="J175" s="84">
        <v>1E-4</v>
      </c>
      <c r="K175" s="85"/>
      <c r="L175" s="88"/>
      <c r="M175" s="86" t="s">
        <v>957</v>
      </c>
      <c r="O175" s="90"/>
    </row>
    <row r="176" spans="1:15" ht="31" x14ac:dyDescent="0.35">
      <c r="A176" s="82">
        <v>173</v>
      </c>
      <c r="B176" s="82" t="s">
        <v>954</v>
      </c>
      <c r="C176" s="96"/>
      <c r="D176" s="82" t="s">
        <v>958</v>
      </c>
      <c r="E176" s="82"/>
      <c r="F176" s="82" t="s">
        <v>221</v>
      </c>
      <c r="G176" s="92">
        <v>300</v>
      </c>
      <c r="H176" s="92" t="s">
        <v>1641</v>
      </c>
      <c r="I176" s="84" t="s">
        <v>416</v>
      </c>
      <c r="J176" s="84" t="s">
        <v>416</v>
      </c>
      <c r="K176" s="85"/>
      <c r="L176" s="88"/>
      <c r="M176" s="86" t="s">
        <v>959</v>
      </c>
      <c r="O176" s="90"/>
    </row>
    <row r="177" spans="1:15" ht="46.5" x14ac:dyDescent="0.35">
      <c r="A177" s="82">
        <v>174</v>
      </c>
      <c r="B177" s="82" t="s">
        <v>954</v>
      </c>
      <c r="C177" s="96"/>
      <c r="D177" s="82" t="s">
        <v>960</v>
      </c>
      <c r="E177" s="82"/>
      <c r="F177" s="82" t="s">
        <v>961</v>
      </c>
      <c r="G177" s="106" t="s">
        <v>416</v>
      </c>
      <c r="H177" s="92">
        <v>0.02</v>
      </c>
      <c r="I177" s="84">
        <v>10</v>
      </c>
      <c r="J177" s="84">
        <v>10</v>
      </c>
      <c r="K177" s="85"/>
      <c r="L177" s="88"/>
      <c r="M177" s="86" t="s">
        <v>962</v>
      </c>
      <c r="O177" s="90"/>
    </row>
    <row r="178" spans="1:15" ht="31" x14ac:dyDescent="0.35">
      <c r="A178" s="82">
        <v>175</v>
      </c>
      <c r="B178" s="82" t="s">
        <v>954</v>
      </c>
      <c r="C178" s="96"/>
      <c r="D178" s="82" t="s">
        <v>963</v>
      </c>
      <c r="E178" s="82"/>
      <c r="F178" s="82" t="s">
        <v>961</v>
      </c>
      <c r="G178" s="106" t="s">
        <v>416</v>
      </c>
      <c r="H178" s="92">
        <v>0.3</v>
      </c>
      <c r="I178" s="84">
        <v>10</v>
      </c>
      <c r="J178" s="84">
        <v>10</v>
      </c>
      <c r="K178" s="85"/>
      <c r="L178" s="88"/>
      <c r="M178" s="86" t="s">
        <v>964</v>
      </c>
      <c r="O178" s="90"/>
    </row>
    <row r="179" spans="1:15" ht="46.5" x14ac:dyDescent="0.35">
      <c r="A179" s="82">
        <v>176</v>
      </c>
      <c r="B179" s="82" t="s">
        <v>954</v>
      </c>
      <c r="C179" s="96"/>
      <c r="D179" s="82" t="s">
        <v>965</v>
      </c>
      <c r="E179" s="82"/>
      <c r="F179" s="82" t="s">
        <v>966</v>
      </c>
      <c r="G179" s="92">
        <v>10</v>
      </c>
      <c r="H179" s="92">
        <v>25</v>
      </c>
      <c r="I179" s="84" t="s">
        <v>416</v>
      </c>
      <c r="J179" s="84" t="s">
        <v>416</v>
      </c>
      <c r="K179" s="85"/>
      <c r="L179" s="88"/>
      <c r="M179" s="86" t="s">
        <v>967</v>
      </c>
      <c r="O179" s="90"/>
    </row>
    <row r="180" spans="1:15" ht="31" x14ac:dyDescent="0.35">
      <c r="A180" s="82">
        <v>177</v>
      </c>
      <c r="B180" s="82" t="s">
        <v>954</v>
      </c>
      <c r="C180" s="96"/>
      <c r="D180" s="82" t="s">
        <v>968</v>
      </c>
      <c r="E180" s="82"/>
      <c r="F180" s="82" t="s">
        <v>966</v>
      </c>
      <c r="G180" s="92">
        <v>10</v>
      </c>
      <c r="H180" s="92">
        <v>100</v>
      </c>
      <c r="I180" s="84" t="s">
        <v>416</v>
      </c>
      <c r="J180" s="84" t="s">
        <v>416</v>
      </c>
      <c r="K180" s="85"/>
      <c r="L180" s="88"/>
      <c r="M180" s="86" t="s">
        <v>969</v>
      </c>
      <c r="O180" s="90"/>
    </row>
    <row r="181" spans="1:15" ht="31" x14ac:dyDescent="0.35">
      <c r="A181" s="82">
        <v>178</v>
      </c>
      <c r="B181" s="82" t="s">
        <v>954</v>
      </c>
      <c r="C181" s="96"/>
      <c r="D181" s="82" t="s">
        <v>970</v>
      </c>
      <c r="E181" s="82"/>
      <c r="F181" s="82" t="s">
        <v>971</v>
      </c>
      <c r="G181" s="104" t="s">
        <v>416</v>
      </c>
      <c r="H181" s="104" t="s">
        <v>416</v>
      </c>
      <c r="I181" s="84" t="s">
        <v>416</v>
      </c>
      <c r="J181" s="84" t="s">
        <v>416</v>
      </c>
      <c r="K181" s="85"/>
      <c r="L181" s="88"/>
      <c r="M181" s="123"/>
      <c r="O181" s="89"/>
    </row>
    <row r="182" spans="1:15" ht="18" customHeight="1" x14ac:dyDescent="0.35">
      <c r="A182" s="44"/>
      <c r="B182" s="44"/>
      <c r="C182" s="113"/>
      <c r="D182" s="44"/>
      <c r="E182" s="82"/>
      <c r="F182" s="44"/>
      <c r="G182" s="98"/>
      <c r="H182" s="56"/>
      <c r="I182" s="101"/>
      <c r="J182" s="44"/>
      <c r="K182" s="45"/>
      <c r="L182" s="45"/>
    </row>
    <row r="183" spans="1:15" ht="18" customHeight="1" x14ac:dyDescent="0.35">
      <c r="A183" s="44"/>
      <c r="B183" s="44"/>
      <c r="C183" s="113"/>
      <c r="D183" s="44"/>
      <c r="E183" s="82"/>
      <c r="F183" s="44"/>
      <c r="G183" s="98"/>
      <c r="H183" s="56"/>
      <c r="I183" s="101"/>
      <c r="J183" s="44"/>
      <c r="K183" s="45"/>
      <c r="L183" s="45"/>
    </row>
    <row r="184" spans="1:15" ht="18" customHeight="1" x14ac:dyDescent="0.35">
      <c r="A184" s="44"/>
      <c r="B184" s="44"/>
      <c r="C184" s="113"/>
      <c r="D184" s="44"/>
      <c r="E184" s="82"/>
      <c r="F184" s="44"/>
      <c r="G184" s="98"/>
      <c r="H184" s="56"/>
      <c r="I184" s="101"/>
      <c r="J184" s="44"/>
      <c r="K184" s="45"/>
      <c r="L184" s="45"/>
    </row>
    <row r="185" spans="1:15" ht="18" customHeight="1" x14ac:dyDescent="0.35">
      <c r="A185" s="44"/>
      <c r="B185" s="44"/>
      <c r="C185" s="113"/>
      <c r="D185" s="44"/>
      <c r="E185" s="82"/>
      <c r="F185" s="44"/>
      <c r="G185" s="98"/>
      <c r="H185" s="56"/>
      <c r="I185" s="101"/>
      <c r="J185" s="44"/>
      <c r="K185" s="45"/>
      <c r="L185" s="45"/>
    </row>
    <row r="186" spans="1:15" ht="18" customHeight="1" x14ac:dyDescent="0.35">
      <c r="A186" s="44"/>
      <c r="B186" s="44"/>
      <c r="C186" s="113"/>
      <c r="D186" s="44"/>
      <c r="E186" s="151"/>
      <c r="F186" s="152"/>
      <c r="G186" s="153"/>
      <c r="H186" s="154"/>
      <c r="I186" s="101"/>
      <c r="J186" s="44"/>
      <c r="K186" s="45"/>
      <c r="L186" s="45"/>
    </row>
    <row r="187" spans="1:15" x14ac:dyDescent="0.35">
      <c r="E187" s="155"/>
    </row>
    <row r="188" spans="1:15" x14ac:dyDescent="0.35">
      <c r="E188" s="155"/>
    </row>
    <row r="189" spans="1:15" x14ac:dyDescent="0.35">
      <c r="E189" s="155"/>
    </row>
    <row r="190" spans="1:15" x14ac:dyDescent="0.35">
      <c r="E190" s="155"/>
    </row>
    <row r="191" spans="1:15" x14ac:dyDescent="0.35">
      <c r="A191" t="s">
        <v>288</v>
      </c>
      <c r="E191" s="155"/>
    </row>
  </sheetData>
  <autoFilter ref="A3:M181" xr:uid="{00000000-0001-0000-0700-000000000000}"/>
  <dataConsolidate/>
  <phoneticPr fontId="38" type="noConversion"/>
  <conditionalFormatting sqref="G11 G16">
    <cfRule type="expression" dxfId="14" priority="5">
      <formula>AND(ISNUMBER(G11),G11&lt;90)</formula>
    </cfRule>
    <cfRule type="expression" dxfId="13" priority="6">
      <formula>AND(ISNUMBER(G11),G11&gt;=90)</formula>
    </cfRule>
  </conditionalFormatting>
  <conditionalFormatting sqref="G28 G33">
    <cfRule type="expression" dxfId="12" priority="3">
      <formula>AND(ISNUMBER(G28),G28&lt;90)</formula>
    </cfRule>
    <cfRule type="expression" dxfId="11" priority="4">
      <formula>AND(ISNUMBER(G28),G28&gt;=90)</formula>
    </cfRule>
  </conditionalFormatting>
  <conditionalFormatting sqref="G45 G50">
    <cfRule type="expression" dxfId="10" priority="1">
      <formula>AND(ISNUMBER(G45),G45&lt;90)</formula>
    </cfRule>
    <cfRule type="expression" dxfId="9" priority="2">
      <formula>AND(ISNUMBER(G45),G45&gt;=90)</formula>
    </cfRule>
  </conditionalFormatting>
  <conditionalFormatting sqref="G177:G178">
    <cfRule type="expression" dxfId="8" priority="9">
      <formula>AND(ISNUMBER(G177),G177&lt;10)</formula>
    </cfRule>
    <cfRule type="expression" dxfId="7" priority="10">
      <formula>AND(ISNUMBER(G177),G177&gt;=10)</formula>
    </cfRule>
  </conditionalFormatting>
  <conditionalFormatting sqref="G168:H168">
    <cfRule type="expression" dxfId="6" priority="7">
      <formula>AND(ISNUMBER(G168),OR(G168&lt;3,G168&gt;6))</formula>
    </cfRule>
    <cfRule type="expression" dxfId="5" priority="8">
      <formula>AND(ISNUMBER(G168),G168&gt;=3,G168&lt;=6)</formula>
    </cfRule>
  </conditionalFormatting>
  <dataValidations count="15">
    <dataValidation type="list" allowBlank="1" showInputMessage="1" showErrorMessage="1" errorTitle="Invalid entry" error="Allowed: Yes, No, NA" promptTitle="Valid options" prompt="Enter Yes / No / NA" sqref="G143:H143 G4:H6 G163:H163 H157 G151:H151 G157:G158" xr:uid="{00000000-0002-0000-0700-000000000000}">
      <formula1>"Yes,No,NA"</formula1>
      <formula2>0</formula2>
    </dataValidation>
    <dataValidation type="decimal" allowBlank="1" showInputMessage="1" showErrorMessage="1" errorTitle="Out of range" error="Value must be between 0 and 20" promptTitle="Expected range" prompt="LVRT K-factor (must be &gt; 0; firmware and model values should match)" sqref="G149:H150" xr:uid="{00000000-0002-0000-0700-00000D000000}">
      <formula1>0</formula1>
      <formula2>20</formula2>
    </dataValidation>
    <dataValidation type="decimal" allowBlank="1" showInputMessage="1" showErrorMessage="1" errorTitle="Out of range" error="Value must be between 0 and 20" promptTitle="Expected range" prompt="HVRT K-factor (must be &gt; 0)" sqref="G160:H162" xr:uid="{00000000-0002-0000-0700-00000E000000}">
      <formula1>0</formula1>
      <formula2>20</formula2>
    </dataValidation>
    <dataValidation type="decimal" allowBlank="1" showInputMessage="1" showErrorMessage="1" errorTitle="Out of range" error="Value must be between 1 and 10" promptTitle="Expected range" prompt="PFR droop % (CEA requirement: 3%–6%)" sqref="G168:H168" xr:uid="{00000000-0002-0000-0700-00000F000000}">
      <formula1>1</formula1>
      <formula2>10</formula2>
    </dataValidation>
    <dataValidation type="list" allowBlank="1" showInputMessage="1" showErrorMessage="1" errorTitle="Invalid entry" error="Allowed: PNG, JPEG, PDF, Not Submitted" promptTitle="Valid options" prompt="Select file format of settings screenshot" sqref="G169:H170" xr:uid="{00000000-0002-0000-0700-000011000000}">
      <formula1>"PNG,JPEG,PDF,Not Submitted"</formula1>
      <formula2>0</formula2>
    </dataValidation>
    <dataValidation type="decimal" allowBlank="1" showInputMessage="1" showErrorMessage="1" sqref="H58:H59 H64 H74:H75 H96 H80 G135 G106 G108:G109 G122 G115 G117 G119:G120 G139 G126 G128:G130 G132:G133 G141:G142 G111" xr:uid="{F2A83755-72AB-4243-BD4A-0E56B36BDDED}">
      <formula1>-2</formula1>
      <formula2>0</formula2>
    </dataValidation>
    <dataValidation type="decimal" allowBlank="1" showInputMessage="1" showErrorMessage="1" sqref="H164 G164:G165" xr:uid="{A910F5A9-6E3A-4E78-9572-C214423CDE6A}">
      <formula1>0.04</formula1>
      <formula2>0.1</formula2>
    </dataValidation>
    <dataValidation type="decimal" allowBlank="1" showInputMessage="1" showErrorMessage="1" sqref="G171" xr:uid="{8B9A2612-4BDC-416E-BFBC-11AE0E421326}">
      <formula1>0</formula1>
      <formula2>100</formula2>
    </dataValidation>
    <dataValidation type="decimal" allowBlank="1" showInputMessage="1" showErrorMessage="1" sqref="G166:H167" xr:uid="{DC7FFC8E-25EB-409A-8016-1B782A52D1E7}">
      <formula1>0.05</formula1>
      <formula2>0.25</formula2>
    </dataValidation>
    <dataValidation allowBlank="1" showInputMessage="1" showErrorMessage="1" errorTitle="Out of range" error="Value must be between 1 and 1000" sqref="G178" xr:uid="{875FBFC1-9B9C-44A3-9096-EED35DB4DD36}"/>
    <dataValidation allowBlank="1" showInputMessage="1" showErrorMessage="1" errorTitle="Out of range" error="Value must be between 1 and 1000" prompt="_x000a__x000a_" sqref="G177" xr:uid="{19A461A4-A591-4B5C-8CBD-EDA0D1C592D1}"/>
    <dataValidation type="decimal" allowBlank="1" showInputMessage="1" showErrorMessage="1" sqref="H57 H67:H73 H111:H114 H83:H90 H122:H125 H142 G23:H23 G31:H34 H7:H12 G26:H29 H136:H138 H129 H60:H63 H76:H79 G14:H17 H99:H104 G48:H51 H41:H46 H92:H95 G40:H40 G9:G12 G43:G46 G57:G105" xr:uid="{A5ADDC28-F5EC-4D55-80CD-B14ECCED51F4}">
      <formula1>0</formula1>
      <formula2>2</formula2>
    </dataValidation>
    <dataValidation type="decimal" allowBlank="1" showInputMessage="1" showErrorMessage="1" sqref="G13:H13 G18:H18 G121:H121 G30:H30 H97:H98 G35:H35 G47:H47 H115:H120 H105:H110 G52:H52 G127:H127 H81:H82 H65:H66 H126 H139 H165 H130:H135 G140:H140 G8 G25 G42 G107 G110 G116 G118 G131 G134" xr:uid="{BC387AEF-D727-4994-97DE-1EA9DE94E5BD}">
      <formula1>-2</formula1>
      <formula2>2</formula2>
    </dataValidation>
    <dataValidation allowBlank="1" showInputMessage="1" showErrorMessage="1" promptTitle="Incremental Reactive current" sqref="E7:E139" xr:uid="{EB654137-C4AA-46C6-98A5-F0D1DFF111B1}"/>
    <dataValidation type="decimal" allowBlank="1" showInputMessage="1" showErrorMessage="1" promptTitle="Range" prompt="Incremental value must be greater than 0" sqref="G24 G7 G41" xr:uid="{0EB099ED-0A58-4864-B039-FFC0F49808DB}">
      <formula1>0</formula1>
      <formula2>2</formula2>
    </dataValidation>
  </dataValidations>
  <pageMargins left="0.25" right="0.25" top="0.75" bottom="0.75" header="0.3" footer="0.3"/>
  <pageSetup paperSize="9" scale="28" fitToHeight="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E2EDD-3E85-4E63-8777-7D981164BB7E}">
  <sheetPr codeName="Sheet11"/>
  <dimension ref="A4:FG184"/>
  <sheetViews>
    <sheetView topLeftCell="DE121" zoomScale="40" zoomScaleNormal="40" workbookViewId="0">
      <selection activeCell="EY88" sqref="EY88"/>
    </sheetView>
  </sheetViews>
  <sheetFormatPr defaultRowHeight="14.5" x14ac:dyDescent="0.35"/>
  <cols>
    <col min="15" max="15" width="18.90625" customWidth="1"/>
  </cols>
  <sheetData>
    <row r="4" spans="6:15" ht="15.5" x14ac:dyDescent="0.35">
      <c r="F4" s="114"/>
      <c r="G4" s="114"/>
      <c r="H4" s="114"/>
      <c r="I4" s="114"/>
      <c r="J4" s="114"/>
      <c r="K4" s="115"/>
      <c r="L4" s="115"/>
      <c r="M4" s="116"/>
      <c r="N4" s="116"/>
      <c r="O4" s="117"/>
    </row>
    <row r="5" spans="6:15" ht="15.5" x14ac:dyDescent="0.35">
      <c r="F5" s="114"/>
      <c r="G5" s="114"/>
      <c r="H5" s="114"/>
      <c r="I5" s="114"/>
      <c r="J5" s="114"/>
      <c r="K5" s="115"/>
      <c r="L5" s="115"/>
      <c r="M5" s="116"/>
      <c r="N5" s="116"/>
      <c r="O5" s="117"/>
    </row>
    <row r="6" spans="6:15" ht="15.5" x14ac:dyDescent="0.35">
      <c r="F6" s="114"/>
      <c r="G6" s="114"/>
      <c r="H6" s="114"/>
      <c r="I6" s="114"/>
      <c r="J6" s="114"/>
      <c r="K6" s="115"/>
      <c r="L6" s="115"/>
      <c r="M6" s="116"/>
      <c r="N6" s="116"/>
      <c r="O6" s="117"/>
    </row>
    <row r="7" spans="6:15" ht="15.5" x14ac:dyDescent="0.35">
      <c r="F7" s="114"/>
      <c r="G7" s="114"/>
      <c r="H7" s="114"/>
      <c r="I7" s="114"/>
      <c r="J7" s="114"/>
      <c r="K7" s="118"/>
      <c r="L7" s="118"/>
      <c r="M7" s="116"/>
      <c r="N7" s="116"/>
      <c r="O7" s="117"/>
    </row>
    <row r="8" spans="6:15" ht="15.5" x14ac:dyDescent="0.35">
      <c r="F8" s="114"/>
      <c r="G8" s="114"/>
      <c r="H8" s="114"/>
      <c r="I8" s="114"/>
      <c r="J8" s="114"/>
      <c r="K8" s="115"/>
      <c r="L8" s="115"/>
      <c r="M8" s="116"/>
      <c r="N8" s="116"/>
      <c r="O8" s="117"/>
    </row>
    <row r="9" spans="6:15" ht="15.5" x14ac:dyDescent="0.35">
      <c r="F9" s="114"/>
      <c r="G9" s="114"/>
      <c r="H9" s="114"/>
      <c r="I9" s="114"/>
      <c r="J9" s="114"/>
      <c r="K9" s="115"/>
      <c r="L9" s="115"/>
      <c r="M9" s="116"/>
      <c r="N9" s="116"/>
      <c r="O9" s="117"/>
    </row>
    <row r="10" spans="6:15" ht="15.5" x14ac:dyDescent="0.35">
      <c r="F10" s="114"/>
      <c r="G10" s="114"/>
      <c r="H10" s="114"/>
      <c r="I10" s="114"/>
      <c r="J10" s="114"/>
      <c r="K10" s="115"/>
      <c r="L10" s="115"/>
      <c r="M10" s="116"/>
      <c r="N10" s="116"/>
      <c r="O10" s="117"/>
    </row>
    <row r="11" spans="6:15" ht="15.5" x14ac:dyDescent="0.35">
      <c r="F11" s="114"/>
      <c r="G11" s="114"/>
      <c r="H11" s="114"/>
      <c r="I11" s="114"/>
      <c r="J11" s="114"/>
      <c r="K11" s="115"/>
      <c r="L11" s="115"/>
      <c r="M11" s="116"/>
      <c r="N11" s="116"/>
      <c r="O11" s="117"/>
    </row>
    <row r="12" spans="6:15" ht="15.5" x14ac:dyDescent="0.35">
      <c r="F12" s="114"/>
      <c r="G12" s="114"/>
      <c r="H12" s="114"/>
      <c r="I12" s="114"/>
      <c r="J12" s="114"/>
      <c r="K12" s="118"/>
      <c r="L12" s="118"/>
      <c r="M12" s="116"/>
      <c r="N12" s="116"/>
      <c r="O12" s="117"/>
    </row>
    <row r="13" spans="6:15" ht="15.5" x14ac:dyDescent="0.35">
      <c r="F13" s="114"/>
      <c r="G13" s="114"/>
      <c r="H13" s="114"/>
      <c r="I13" s="114"/>
      <c r="J13" s="114"/>
      <c r="K13" s="115"/>
      <c r="L13" s="115"/>
      <c r="M13" s="116"/>
      <c r="N13" s="116"/>
      <c r="O13" s="117"/>
    </row>
    <row r="14" spans="6:15" ht="15.5" x14ac:dyDescent="0.35">
      <c r="F14" s="114"/>
      <c r="G14" s="114"/>
      <c r="H14" s="114"/>
      <c r="I14" s="114"/>
      <c r="J14" s="114"/>
      <c r="K14" s="115"/>
      <c r="L14" s="115"/>
      <c r="M14" s="116"/>
      <c r="N14" s="116"/>
      <c r="O14" s="117"/>
    </row>
    <row r="15" spans="6:15" ht="15.5" x14ac:dyDescent="0.35">
      <c r="F15" s="114"/>
      <c r="G15" s="114"/>
      <c r="H15" s="114"/>
      <c r="I15" s="114"/>
      <c r="J15" s="114"/>
      <c r="K15" s="115"/>
      <c r="L15" s="115"/>
      <c r="M15" s="116"/>
      <c r="N15" s="116"/>
      <c r="O15" s="117"/>
    </row>
    <row r="16" spans="6:15" ht="15.5" x14ac:dyDescent="0.35">
      <c r="F16" s="114"/>
      <c r="G16" s="114"/>
      <c r="H16" s="114"/>
      <c r="I16" s="114"/>
      <c r="J16" s="114"/>
      <c r="K16" s="115"/>
      <c r="L16" s="115"/>
      <c r="M16" s="116"/>
      <c r="N16" s="116"/>
      <c r="O16" s="117"/>
    </row>
    <row r="17" spans="6:15" ht="15.5" x14ac:dyDescent="0.35">
      <c r="F17" s="114"/>
      <c r="G17" s="114"/>
      <c r="H17" s="114"/>
      <c r="I17" s="114"/>
      <c r="J17" s="114"/>
      <c r="K17" s="115"/>
      <c r="L17" s="115"/>
      <c r="M17" s="116"/>
      <c r="N17" s="116"/>
      <c r="O17" s="117"/>
    </row>
    <row r="18" spans="6:15" ht="15.5" x14ac:dyDescent="0.35">
      <c r="F18" s="114"/>
      <c r="G18" s="114"/>
      <c r="H18" s="114"/>
      <c r="I18" s="114"/>
      <c r="J18" s="114"/>
      <c r="K18" s="115"/>
      <c r="L18" s="115"/>
      <c r="M18" s="116"/>
      <c r="N18" s="116"/>
      <c r="O18" s="117"/>
    </row>
    <row r="19" spans="6:15" ht="15.5" x14ac:dyDescent="0.35">
      <c r="F19" s="114"/>
      <c r="G19" s="114"/>
      <c r="H19" s="114"/>
      <c r="I19" s="114"/>
      <c r="J19" s="114"/>
      <c r="K19" s="118"/>
      <c r="L19" s="118"/>
      <c r="M19" s="116"/>
      <c r="N19" s="116"/>
      <c r="O19" s="117"/>
    </row>
    <row r="20" spans="6:15" ht="15.5" x14ac:dyDescent="0.35">
      <c r="F20" s="114"/>
      <c r="G20" s="114"/>
      <c r="H20" s="114"/>
      <c r="I20" s="114"/>
      <c r="J20" s="114"/>
      <c r="K20" s="115"/>
      <c r="L20" s="115"/>
      <c r="M20" s="116"/>
      <c r="N20" s="116"/>
      <c r="O20" s="117"/>
    </row>
    <row r="64" spans="1:163" ht="395.4" customHeight="1" x14ac:dyDescent="0.35">
      <c r="A64" s="145"/>
      <c r="B64" s="145"/>
      <c r="C64" s="145"/>
      <c r="D64" s="145"/>
      <c r="E64" s="145"/>
      <c r="F64" s="145"/>
      <c r="G64" s="145"/>
      <c r="H64" s="145"/>
      <c r="I64" s="145"/>
      <c r="J64" s="192" t="s">
        <v>972</v>
      </c>
      <c r="K64" s="192"/>
      <c r="L64" s="192"/>
      <c r="M64" s="192"/>
      <c r="N64" s="192"/>
      <c r="O64" s="192"/>
      <c r="P64" s="192"/>
      <c r="Q64" s="192"/>
      <c r="R64" s="192"/>
      <c r="S64" s="192"/>
      <c r="T64" s="192"/>
      <c r="U64" s="192"/>
      <c r="V64" s="192"/>
      <c r="W64" s="192"/>
      <c r="X64" s="192"/>
      <c r="Y64" s="192"/>
      <c r="Z64" s="192"/>
      <c r="AA64" s="192"/>
      <c r="AB64" s="192"/>
      <c r="AC64" s="192"/>
      <c r="AD64" s="193"/>
      <c r="AE64" s="193"/>
      <c r="AF64" s="193"/>
      <c r="AG64" s="193"/>
      <c r="AH64" s="193"/>
      <c r="AI64" s="146"/>
      <c r="AJ64" s="146"/>
      <c r="AK64" s="192" t="s">
        <v>973</v>
      </c>
      <c r="AL64" s="192"/>
      <c r="AM64" s="192"/>
      <c r="AN64" s="192"/>
      <c r="AO64" s="192"/>
      <c r="AP64" s="192"/>
      <c r="AQ64" s="192"/>
      <c r="AR64" s="192"/>
      <c r="AS64" s="192"/>
      <c r="AT64" s="192"/>
      <c r="AU64" s="192"/>
      <c r="AV64" s="192"/>
      <c r="AW64" s="192"/>
      <c r="AX64" s="192"/>
      <c r="AY64" s="192"/>
      <c r="AZ64" s="192"/>
      <c r="BA64" s="192"/>
      <c r="BB64" s="192"/>
      <c r="BC64" s="192"/>
      <c r="BD64" s="192"/>
      <c r="BE64" s="193"/>
      <c r="BF64" s="193"/>
      <c r="BG64" s="193"/>
      <c r="BH64" s="193"/>
      <c r="BI64" s="193"/>
      <c r="BJ64" s="145"/>
      <c r="BK64" s="145"/>
      <c r="BL64" s="192" t="s">
        <v>974</v>
      </c>
      <c r="BM64" s="192"/>
      <c r="BN64" s="192"/>
      <c r="BO64" s="192"/>
      <c r="BP64" s="192"/>
      <c r="BQ64" s="192"/>
      <c r="BR64" s="192"/>
      <c r="BS64" s="192"/>
      <c r="BT64" s="192"/>
      <c r="BU64" s="192"/>
      <c r="BV64" s="192"/>
      <c r="BW64" s="192"/>
      <c r="BX64" s="192"/>
      <c r="BY64" s="192"/>
      <c r="BZ64" s="192"/>
      <c r="CA64" s="192"/>
      <c r="CB64" s="192"/>
      <c r="CC64" s="192"/>
      <c r="CD64" s="192"/>
      <c r="CE64" s="192"/>
      <c r="CF64" s="145"/>
      <c r="CG64" s="192" t="s">
        <v>975</v>
      </c>
      <c r="CH64" s="192"/>
      <c r="CI64" s="192"/>
      <c r="CJ64" s="192"/>
      <c r="CK64" s="192"/>
      <c r="CL64" s="192"/>
      <c r="CM64" s="192"/>
      <c r="CN64" s="192"/>
      <c r="CO64" s="192"/>
      <c r="CP64" s="192"/>
      <c r="CQ64" s="192"/>
      <c r="CR64" s="192"/>
      <c r="CS64" s="192"/>
      <c r="CT64" s="192"/>
      <c r="CU64" s="192"/>
      <c r="CV64" s="192"/>
      <c r="CW64" s="192"/>
      <c r="CX64" s="192"/>
      <c r="CY64" s="192"/>
      <c r="CZ64" s="192"/>
      <c r="DA64" s="192"/>
      <c r="DB64" s="192"/>
      <c r="DC64" s="192"/>
      <c r="DD64" s="192"/>
      <c r="DE64" s="192"/>
      <c r="DF64" s="145"/>
      <c r="DG64" s="145"/>
      <c r="DH64" s="192" t="s">
        <v>976</v>
      </c>
      <c r="DI64" s="192"/>
      <c r="DJ64" s="192"/>
      <c r="DK64" s="192"/>
      <c r="DL64" s="192"/>
      <c r="DM64" s="192"/>
      <c r="DN64" s="192"/>
      <c r="DO64" s="192"/>
      <c r="DP64" s="192"/>
      <c r="DQ64" s="192"/>
      <c r="DR64" s="192"/>
      <c r="DS64" s="192"/>
      <c r="DT64" s="192"/>
      <c r="DU64" s="192"/>
      <c r="DV64" s="192"/>
      <c r="DW64" s="192"/>
      <c r="DX64" s="192"/>
      <c r="DY64" s="192"/>
      <c r="DZ64" s="192"/>
      <c r="EA64" s="192"/>
      <c r="EB64" s="192"/>
      <c r="EC64" s="192"/>
      <c r="ED64" s="192"/>
      <c r="EE64" s="192"/>
      <c r="EF64" s="192"/>
      <c r="EG64" s="145"/>
      <c r="EH64" s="145"/>
      <c r="EI64" s="192" t="s">
        <v>977</v>
      </c>
      <c r="EJ64" s="192"/>
      <c r="EK64" s="192"/>
      <c r="EL64" s="192"/>
      <c r="EM64" s="192"/>
      <c r="EN64" s="192"/>
      <c r="EO64" s="192"/>
      <c r="EP64" s="192"/>
      <c r="EQ64" s="192"/>
      <c r="ER64" s="192"/>
      <c r="ES64" s="192"/>
      <c r="ET64" s="192"/>
      <c r="EU64" s="192"/>
      <c r="EV64" s="192"/>
      <c r="EW64" s="192"/>
      <c r="EX64" s="192"/>
      <c r="EY64" s="192"/>
      <c r="EZ64" s="192"/>
      <c r="FA64" s="192"/>
      <c r="FB64" s="192"/>
      <c r="FC64" s="192"/>
      <c r="FD64" s="192"/>
      <c r="FE64" s="192"/>
      <c r="FF64" s="192"/>
      <c r="FG64" s="192"/>
    </row>
    <row r="184" spans="10:151" s="147" customFormat="1" ht="408.65" customHeight="1" x14ac:dyDescent="0.35">
      <c r="J184" s="192" t="s">
        <v>978</v>
      </c>
      <c r="K184" s="192"/>
      <c r="L184" s="192"/>
      <c r="M184" s="192"/>
      <c r="N184" s="192"/>
      <c r="O184" s="192"/>
      <c r="P184" s="192"/>
      <c r="Q184" s="192"/>
      <c r="R184" s="192"/>
      <c r="S184" s="192"/>
      <c r="T184" s="192"/>
      <c r="U184" s="192"/>
      <c r="V184" s="192"/>
      <c r="W184" s="192"/>
      <c r="X184" s="192"/>
      <c r="Y184" s="192"/>
      <c r="Z184" s="192"/>
      <c r="AA184" s="192"/>
      <c r="AB184" s="192"/>
      <c r="AC184" s="192"/>
      <c r="AD184" s="192"/>
      <c r="AE184" s="192"/>
      <c r="AF184" s="192"/>
      <c r="AG184" s="192"/>
      <c r="AH184" s="192"/>
      <c r="AL184" s="192" t="s">
        <v>979</v>
      </c>
      <c r="AM184" s="192"/>
      <c r="AN184" s="192"/>
      <c r="AO184" s="192"/>
      <c r="AP184" s="192"/>
      <c r="AQ184" s="192"/>
      <c r="AR184" s="192"/>
      <c r="AS184" s="192"/>
      <c r="AT184" s="192"/>
      <c r="AU184" s="192"/>
      <c r="AV184" s="192"/>
      <c r="AW184" s="192"/>
      <c r="AX184" s="192"/>
      <c r="AY184" s="192"/>
      <c r="AZ184" s="192"/>
      <c r="BA184" s="192"/>
      <c r="BB184" s="192"/>
      <c r="BC184" s="192"/>
      <c r="BD184" s="192"/>
      <c r="BE184" s="192"/>
      <c r="BF184" s="192"/>
      <c r="BG184" s="192"/>
      <c r="BH184" s="192"/>
      <c r="BI184" s="192"/>
      <c r="BJ184" s="192"/>
      <c r="BL184" s="192" t="s">
        <v>980</v>
      </c>
      <c r="BM184" s="192"/>
      <c r="BN184" s="192"/>
      <c r="BO184" s="192"/>
      <c r="BP184" s="192"/>
      <c r="BQ184" s="192"/>
      <c r="BR184" s="192"/>
      <c r="BS184" s="192"/>
      <c r="BT184" s="192"/>
      <c r="BU184" s="192"/>
      <c r="BV184" s="192"/>
      <c r="BW184" s="192"/>
      <c r="BX184" s="192"/>
      <c r="BY184" s="192"/>
      <c r="BZ184" s="192"/>
      <c r="CA184" s="192"/>
      <c r="CB184" s="192"/>
      <c r="CC184" s="192"/>
      <c r="CD184" s="192"/>
      <c r="CE184" s="192"/>
      <c r="CF184" s="192"/>
      <c r="CG184" s="192"/>
      <c r="CH184" s="192"/>
      <c r="CI184" s="192"/>
      <c r="CJ184" s="192"/>
      <c r="CN184" s="192" t="s">
        <v>981</v>
      </c>
      <c r="CO184" s="192"/>
      <c r="CP184" s="192"/>
      <c r="CQ184" s="192"/>
      <c r="CR184" s="192"/>
      <c r="CS184" s="192"/>
      <c r="CT184" s="192"/>
      <c r="CU184" s="192"/>
      <c r="CV184" s="192"/>
      <c r="CW184" s="192"/>
      <c r="CX184" s="192"/>
      <c r="CY184" s="192"/>
      <c r="CZ184" s="192"/>
      <c r="DA184" s="192"/>
      <c r="DB184" s="192"/>
      <c r="DC184" s="192"/>
      <c r="DD184" s="192"/>
      <c r="DE184" s="192"/>
      <c r="DF184" s="192"/>
      <c r="DG184" s="192"/>
      <c r="DH184" s="192"/>
      <c r="DI184" s="192"/>
      <c r="DJ184" s="192"/>
      <c r="DK184" s="192"/>
      <c r="DL184" s="192"/>
      <c r="DP184" s="192" t="s">
        <v>982</v>
      </c>
      <c r="DQ184" s="192"/>
      <c r="DR184" s="192"/>
      <c r="DS184" s="192"/>
      <c r="DT184" s="192"/>
      <c r="DU184" s="192"/>
      <c r="DV184" s="192"/>
      <c r="DW184" s="192"/>
      <c r="DX184" s="192"/>
      <c r="DY184" s="192"/>
      <c r="DZ184" s="192"/>
      <c r="EA184" s="192"/>
      <c r="EB184" s="192"/>
      <c r="EC184" s="192"/>
      <c r="ED184" s="192"/>
      <c r="EE184" s="192"/>
      <c r="EF184" s="192"/>
      <c r="EG184" s="192"/>
      <c r="EH184" s="192"/>
      <c r="EI184" s="192"/>
      <c r="EJ184" s="192"/>
      <c r="EK184" s="192"/>
      <c r="EL184" s="192"/>
      <c r="EM184" s="192"/>
      <c r="EN184" s="192"/>
      <c r="EO184" s="192"/>
      <c r="EP184" s="192"/>
      <c r="EQ184" s="192"/>
      <c r="ER184" s="192"/>
      <c r="ES184" s="192"/>
      <c r="ET184" s="192"/>
      <c r="EU184" s="192"/>
    </row>
  </sheetData>
  <sheetProtection algorithmName="SHA-512" hashValue="SIPURVHp0onf3zuYa08RjVq0zjchn1M6UPZEISlshHBUMdKXeneHNnXEeghmSpa7uNBbvXemajBWJuA20/lrSQ==" saltValue="itmiAfqfkW/nWV7Apu9oxQ==" spinCount="100000" sheet="1" objects="1" scenarios="1"/>
  <mergeCells count="13">
    <mergeCell ref="AK64:BD64"/>
    <mergeCell ref="BE64:BI64"/>
    <mergeCell ref="J64:AC64"/>
    <mergeCell ref="AD64:AH64"/>
    <mergeCell ref="DP184:EU184"/>
    <mergeCell ref="J184:AH184"/>
    <mergeCell ref="BL64:CE64"/>
    <mergeCell ref="AL184:BJ184"/>
    <mergeCell ref="CN184:DL184"/>
    <mergeCell ref="BL184:CJ184"/>
    <mergeCell ref="CG64:DE64"/>
    <mergeCell ref="DH64:EF64"/>
    <mergeCell ref="EI64:FG64"/>
  </mergeCells>
  <conditionalFormatting sqref="K8:L8 K13:L13">
    <cfRule type="expression" dxfId="4" priority="1">
      <formula>AND(ISNUMBER(K8),K8&lt;90)</formula>
    </cfRule>
    <cfRule type="expression" dxfId="3" priority="2">
      <formula>AND(ISNUMBER(K8),K8&gt;=90)</formula>
    </cfRule>
  </conditionalFormatting>
  <dataValidations disablePrompts="1" count="3">
    <dataValidation allowBlank="1" showInputMessage="1" showErrorMessage="1" promptTitle="Incremental Reactive current" sqref="I4:I20" xr:uid="{EE1293FA-54F6-43FF-84DC-A932AE615B6D}"/>
    <dataValidation type="decimal" allowBlank="1" showInputMessage="1" showErrorMessage="1" sqref="K6:L20" xr:uid="{C3C2F942-E737-40A0-A5DC-FD0D5FE45788}">
      <formula1>0</formula1>
      <formula2>2</formula2>
    </dataValidation>
    <dataValidation type="decimal" allowBlank="1" showInputMessage="1" showErrorMessage="1" promptTitle="Range" prompt="Incremental value must be greater than 0" sqref="K4:L5" xr:uid="{0912D933-766E-430C-89DB-3A7E076B29BC}">
      <formula1>0</formula1>
      <formula2>2</formula2>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filterMode="1"/>
  <dimension ref="A1:L247"/>
  <sheetViews>
    <sheetView showGridLines="0" tabSelected="1" topLeftCell="J1" zoomScale="69" zoomScaleNormal="100" workbookViewId="0">
      <pane ySplit="3" topLeftCell="A122" activePane="bottomLeft" state="frozen"/>
      <selection activeCell="H1" sqref="H1"/>
      <selection pane="bottomLeft" activeCell="N123" sqref="N123"/>
    </sheetView>
  </sheetViews>
  <sheetFormatPr defaultColWidth="8.6328125" defaultRowHeight="14.5" x14ac:dyDescent="0.35"/>
  <cols>
    <col min="1" max="1" width="10" customWidth="1"/>
    <col min="2" max="2" width="12.54296875" customWidth="1"/>
    <col min="3" max="3" width="11.6328125" customWidth="1"/>
    <col min="4" max="4" width="43.36328125" customWidth="1"/>
    <col min="5" max="5" width="45" customWidth="1"/>
    <col min="6" max="6" width="84.6328125" hidden="1" customWidth="1"/>
    <col min="7" max="7" width="15.36328125" customWidth="1"/>
    <col min="8" max="8" width="22.08984375" customWidth="1"/>
    <col min="9" max="9" width="31.453125" customWidth="1"/>
    <col min="10" max="10" width="24.453125" customWidth="1"/>
    <col min="11" max="11" width="14.36328125" bestFit="1" customWidth="1"/>
    <col min="12" max="12" width="22.1796875" customWidth="1"/>
  </cols>
  <sheetData>
    <row r="1" spans="1:12" ht="15.75" customHeight="1" x14ac:dyDescent="0.35">
      <c r="A1" s="50" t="s">
        <v>983</v>
      </c>
    </row>
    <row r="3" spans="1:12" ht="33.5" customHeight="1" x14ac:dyDescent="0.35">
      <c r="A3" s="9" t="s">
        <v>984</v>
      </c>
      <c r="B3" s="9" t="s">
        <v>985</v>
      </c>
      <c r="C3" s="9" t="s">
        <v>986</v>
      </c>
      <c r="D3" s="9" t="s">
        <v>987</v>
      </c>
      <c r="E3" s="9" t="s">
        <v>988</v>
      </c>
      <c r="F3" s="9" t="s">
        <v>989</v>
      </c>
      <c r="G3" s="9" t="s">
        <v>990</v>
      </c>
      <c r="H3" s="9" t="s">
        <v>991</v>
      </c>
      <c r="I3" s="9" t="s">
        <v>992</v>
      </c>
      <c r="J3" s="9" t="s">
        <v>993</v>
      </c>
      <c r="K3" s="9" t="s">
        <v>68</v>
      </c>
      <c r="L3" s="66" t="s">
        <v>212</v>
      </c>
    </row>
    <row r="4" spans="1:12" ht="72" hidden="1" x14ac:dyDescent="0.35">
      <c r="A4" s="44">
        <v>1</v>
      </c>
      <c r="B4" s="44" t="s">
        <v>994</v>
      </c>
      <c r="C4" s="44" t="s">
        <v>179</v>
      </c>
      <c r="D4" s="44" t="s">
        <v>995</v>
      </c>
      <c r="E4" s="44" t="s">
        <v>996</v>
      </c>
      <c r="F4" s="44" t="s">
        <v>996</v>
      </c>
      <c r="G4" s="44" t="s">
        <v>997</v>
      </c>
      <c r="H4" s="45" t="s">
        <v>998</v>
      </c>
      <c r="I4" s="45" t="s">
        <v>999</v>
      </c>
      <c r="J4" s="45" t="s">
        <v>277</v>
      </c>
      <c r="K4" s="45"/>
      <c r="L4" s="67" t="s">
        <v>1000</v>
      </c>
    </row>
    <row r="5" spans="1:12" ht="72" hidden="1" x14ac:dyDescent="0.35">
      <c r="A5" s="44">
        <v>2</v>
      </c>
      <c r="B5" s="44" t="s">
        <v>994</v>
      </c>
      <c r="C5" s="44" t="s">
        <v>179</v>
      </c>
      <c r="D5" s="44" t="s">
        <v>1001</v>
      </c>
      <c r="E5" s="44" t="s">
        <v>1002</v>
      </c>
      <c r="F5" s="44" t="s">
        <v>1002</v>
      </c>
      <c r="G5" s="44" t="s">
        <v>997</v>
      </c>
      <c r="H5" s="45" t="s">
        <v>1003</v>
      </c>
      <c r="I5" s="45" t="s">
        <v>999</v>
      </c>
      <c r="J5" s="45" t="s">
        <v>277</v>
      </c>
      <c r="K5" s="45"/>
      <c r="L5" s="67" t="s">
        <v>1000</v>
      </c>
    </row>
    <row r="6" spans="1:12" ht="72" hidden="1" x14ac:dyDescent="0.35">
      <c r="A6" s="44">
        <v>3</v>
      </c>
      <c r="B6" s="44" t="s">
        <v>994</v>
      </c>
      <c r="C6" s="44" t="s">
        <v>179</v>
      </c>
      <c r="D6" s="44" t="s">
        <v>1001</v>
      </c>
      <c r="E6" s="44" t="s">
        <v>1004</v>
      </c>
      <c r="F6" s="44" t="s">
        <v>1004</v>
      </c>
      <c r="G6" s="44" t="s">
        <v>997</v>
      </c>
      <c r="H6" s="45" t="s">
        <v>1005</v>
      </c>
      <c r="I6" s="45" t="s">
        <v>999</v>
      </c>
      <c r="J6" s="45" t="s">
        <v>277</v>
      </c>
      <c r="K6" s="45"/>
      <c r="L6" s="67" t="s">
        <v>1006</v>
      </c>
    </row>
    <row r="7" spans="1:12" ht="96" hidden="1" x14ac:dyDescent="0.35">
      <c r="A7" s="44">
        <v>4</v>
      </c>
      <c r="B7" s="44" t="s">
        <v>994</v>
      </c>
      <c r="C7" s="44" t="s">
        <v>1007</v>
      </c>
      <c r="D7" s="44" t="s">
        <v>1008</v>
      </c>
      <c r="E7" s="44" t="s">
        <v>1009</v>
      </c>
      <c r="F7" s="44" t="s">
        <v>1010</v>
      </c>
      <c r="G7" s="44" t="s">
        <v>997</v>
      </c>
      <c r="H7" s="45" t="s">
        <v>1011</v>
      </c>
      <c r="I7" s="45" t="s">
        <v>999</v>
      </c>
      <c r="J7" s="45" t="s">
        <v>277</v>
      </c>
      <c r="K7" s="45"/>
      <c r="L7" s="67" t="s">
        <v>1012</v>
      </c>
    </row>
    <row r="8" spans="1:12" ht="96" hidden="1" x14ac:dyDescent="0.35">
      <c r="A8" s="44">
        <v>5</v>
      </c>
      <c r="B8" s="44" t="s">
        <v>994</v>
      </c>
      <c r="C8" s="44" t="s">
        <v>1007</v>
      </c>
      <c r="D8" s="44" t="s">
        <v>1008</v>
      </c>
      <c r="E8" s="44" t="s">
        <v>1013</v>
      </c>
      <c r="F8" s="44" t="s">
        <v>1014</v>
      </c>
      <c r="G8" s="44" t="s">
        <v>997</v>
      </c>
      <c r="H8" s="45" t="s">
        <v>1015</v>
      </c>
      <c r="I8" s="45" t="s">
        <v>999</v>
      </c>
      <c r="J8" s="45" t="s">
        <v>277</v>
      </c>
      <c r="K8" s="45"/>
      <c r="L8" s="67" t="s">
        <v>1012</v>
      </c>
    </row>
    <row r="9" spans="1:12" ht="96" hidden="1" x14ac:dyDescent="0.35">
      <c r="A9" s="44">
        <v>6</v>
      </c>
      <c r="B9" s="44" t="s">
        <v>994</v>
      </c>
      <c r="C9" s="44" t="s">
        <v>1007</v>
      </c>
      <c r="D9" s="44" t="s">
        <v>1016</v>
      </c>
      <c r="E9" s="44" t="s">
        <v>1017</v>
      </c>
      <c r="F9" s="44" t="s">
        <v>1018</v>
      </c>
      <c r="G9" s="44" t="s">
        <v>997</v>
      </c>
      <c r="H9" s="45" t="s">
        <v>1019</v>
      </c>
      <c r="I9" s="45" t="s">
        <v>999</v>
      </c>
      <c r="J9" s="45" t="s">
        <v>277</v>
      </c>
      <c r="K9" s="45"/>
      <c r="L9" s="67" t="s">
        <v>1012</v>
      </c>
    </row>
    <row r="10" spans="1:12" ht="96" hidden="1" x14ac:dyDescent="0.35">
      <c r="A10" s="44">
        <v>7</v>
      </c>
      <c r="B10" s="44" t="s">
        <v>994</v>
      </c>
      <c r="C10" s="44" t="s">
        <v>1007</v>
      </c>
      <c r="D10" s="44" t="s">
        <v>1016</v>
      </c>
      <c r="E10" s="44" t="s">
        <v>1020</v>
      </c>
      <c r="F10" s="44" t="s">
        <v>1021</v>
      </c>
      <c r="G10" s="44" t="s">
        <v>997</v>
      </c>
      <c r="H10" s="45" t="s">
        <v>1022</v>
      </c>
      <c r="I10" s="45" t="s">
        <v>999</v>
      </c>
      <c r="J10" s="45" t="s">
        <v>277</v>
      </c>
      <c r="K10" s="45"/>
      <c r="L10" s="67" t="s">
        <v>1012</v>
      </c>
    </row>
    <row r="11" spans="1:12" ht="96" hidden="1" x14ac:dyDescent="0.35">
      <c r="A11" s="44">
        <v>8</v>
      </c>
      <c r="B11" s="44" t="s">
        <v>994</v>
      </c>
      <c r="C11" s="44" t="s">
        <v>1007</v>
      </c>
      <c r="D11" s="44" t="s">
        <v>1016</v>
      </c>
      <c r="E11" s="44" t="s">
        <v>1023</v>
      </c>
      <c r="F11" s="44" t="s">
        <v>1024</v>
      </c>
      <c r="G11" s="44" t="s">
        <v>997</v>
      </c>
      <c r="H11" s="45" t="s">
        <v>1025</v>
      </c>
      <c r="I11" s="45" t="s">
        <v>999</v>
      </c>
      <c r="J11" s="45" t="s">
        <v>277</v>
      </c>
      <c r="K11" s="45"/>
      <c r="L11" s="67" t="s">
        <v>1012</v>
      </c>
    </row>
    <row r="12" spans="1:12" ht="96" hidden="1" x14ac:dyDescent="0.35">
      <c r="A12" s="44">
        <v>9</v>
      </c>
      <c r="B12" s="44" t="s">
        <v>994</v>
      </c>
      <c r="C12" s="44" t="s">
        <v>1007</v>
      </c>
      <c r="D12" s="44" t="s">
        <v>1016</v>
      </c>
      <c r="E12" s="44" t="s">
        <v>1026</v>
      </c>
      <c r="F12" s="44" t="s">
        <v>1027</v>
      </c>
      <c r="G12" s="44" t="s">
        <v>997</v>
      </c>
      <c r="H12" s="45" t="s">
        <v>1028</v>
      </c>
      <c r="I12" s="45" t="s">
        <v>999</v>
      </c>
      <c r="J12" s="45" t="s">
        <v>277</v>
      </c>
      <c r="K12" s="45"/>
      <c r="L12" s="67" t="s">
        <v>1012</v>
      </c>
    </row>
    <row r="13" spans="1:12" ht="132" hidden="1" x14ac:dyDescent="0.35">
      <c r="A13" s="44">
        <v>10</v>
      </c>
      <c r="B13" s="44" t="s">
        <v>994</v>
      </c>
      <c r="C13" s="44" t="s">
        <v>1007</v>
      </c>
      <c r="D13" s="44" t="s">
        <v>1029</v>
      </c>
      <c r="E13" s="44" t="s">
        <v>1030</v>
      </c>
      <c r="F13" s="44" t="s">
        <v>1031</v>
      </c>
      <c r="G13" s="44" t="s">
        <v>997</v>
      </c>
      <c r="H13" s="45" t="s">
        <v>1032</v>
      </c>
      <c r="I13" s="45" t="s">
        <v>999</v>
      </c>
      <c r="J13" s="45" t="s">
        <v>277</v>
      </c>
      <c r="K13" s="45"/>
      <c r="L13" s="67" t="s">
        <v>1033</v>
      </c>
    </row>
    <row r="14" spans="1:12" ht="132" hidden="1" x14ac:dyDescent="0.35">
      <c r="A14" s="44">
        <v>11</v>
      </c>
      <c r="B14" s="44" t="s">
        <v>994</v>
      </c>
      <c r="C14" s="44" t="s">
        <v>1007</v>
      </c>
      <c r="D14" s="44" t="s">
        <v>1029</v>
      </c>
      <c r="E14" s="44" t="s">
        <v>1034</v>
      </c>
      <c r="F14" s="44" t="s">
        <v>1035</v>
      </c>
      <c r="G14" s="44" t="s">
        <v>997</v>
      </c>
      <c r="H14" s="45" t="s">
        <v>1036</v>
      </c>
      <c r="I14" s="45" t="s">
        <v>999</v>
      </c>
      <c r="J14" s="45" t="s">
        <v>277</v>
      </c>
      <c r="K14" s="45"/>
      <c r="L14" s="67" t="s">
        <v>1033</v>
      </c>
    </row>
    <row r="15" spans="1:12" ht="132" hidden="1" x14ac:dyDescent="0.35">
      <c r="A15" s="44">
        <v>12</v>
      </c>
      <c r="B15" s="44" t="s">
        <v>994</v>
      </c>
      <c r="C15" s="44" t="s">
        <v>1007</v>
      </c>
      <c r="D15" s="44" t="s">
        <v>1029</v>
      </c>
      <c r="E15" s="44" t="s">
        <v>1037</v>
      </c>
      <c r="F15" s="44" t="s">
        <v>1038</v>
      </c>
      <c r="G15" s="44" t="s">
        <v>997</v>
      </c>
      <c r="H15" s="45" t="s">
        <v>1039</v>
      </c>
      <c r="I15" s="45" t="s">
        <v>999</v>
      </c>
      <c r="J15" s="45" t="s">
        <v>277</v>
      </c>
      <c r="K15" s="45"/>
      <c r="L15" s="67" t="s">
        <v>1033</v>
      </c>
    </row>
    <row r="16" spans="1:12" ht="132" hidden="1" x14ac:dyDescent="0.35">
      <c r="A16" s="44">
        <v>13</v>
      </c>
      <c r="B16" s="44" t="s">
        <v>994</v>
      </c>
      <c r="C16" s="44" t="s">
        <v>1007</v>
      </c>
      <c r="D16" s="44" t="s">
        <v>1029</v>
      </c>
      <c r="E16" s="44" t="s">
        <v>1040</v>
      </c>
      <c r="F16" s="44" t="s">
        <v>1041</v>
      </c>
      <c r="G16" s="44" t="s">
        <v>997</v>
      </c>
      <c r="H16" s="45" t="s">
        <v>1042</v>
      </c>
      <c r="I16" s="45" t="s">
        <v>999</v>
      </c>
      <c r="J16" s="45" t="s">
        <v>277</v>
      </c>
      <c r="K16" s="45"/>
      <c r="L16" s="67" t="s">
        <v>1033</v>
      </c>
    </row>
    <row r="17" spans="1:12" ht="132" hidden="1" x14ac:dyDescent="0.35">
      <c r="A17" s="44">
        <v>14</v>
      </c>
      <c r="B17" s="44" t="s">
        <v>994</v>
      </c>
      <c r="C17" s="44" t="s">
        <v>1007</v>
      </c>
      <c r="D17" s="44" t="s">
        <v>1029</v>
      </c>
      <c r="E17" s="44" t="s">
        <v>1043</v>
      </c>
      <c r="F17" s="44" t="s">
        <v>1044</v>
      </c>
      <c r="G17" s="44" t="s">
        <v>997</v>
      </c>
      <c r="H17" s="45" t="s">
        <v>1045</v>
      </c>
      <c r="I17" s="45" t="s">
        <v>999</v>
      </c>
      <c r="J17" s="45" t="s">
        <v>277</v>
      </c>
      <c r="K17" s="45"/>
      <c r="L17" s="67" t="s">
        <v>1033</v>
      </c>
    </row>
    <row r="18" spans="1:12" ht="81.75" hidden="1" customHeight="1" x14ac:dyDescent="0.35">
      <c r="A18" s="44">
        <v>15</v>
      </c>
      <c r="B18" s="44" t="s">
        <v>994</v>
      </c>
      <c r="C18" s="44" t="s">
        <v>1007</v>
      </c>
      <c r="D18" s="44" t="s">
        <v>1029</v>
      </c>
      <c r="E18" s="44" t="s">
        <v>1046</v>
      </c>
      <c r="F18" s="44" t="s">
        <v>1047</v>
      </c>
      <c r="G18" s="44" t="s">
        <v>997</v>
      </c>
      <c r="H18" s="45" t="s">
        <v>1048</v>
      </c>
      <c r="I18" s="45" t="s">
        <v>999</v>
      </c>
      <c r="J18" s="45" t="s">
        <v>277</v>
      </c>
      <c r="K18" s="45"/>
      <c r="L18" s="67" t="s">
        <v>1033</v>
      </c>
    </row>
    <row r="19" spans="1:12" ht="90" hidden="1" customHeight="1" x14ac:dyDescent="0.35">
      <c r="A19" s="44">
        <v>16</v>
      </c>
      <c r="B19" s="44" t="s">
        <v>994</v>
      </c>
      <c r="C19" s="44" t="s">
        <v>1007</v>
      </c>
      <c r="D19" s="44" t="s">
        <v>1029</v>
      </c>
      <c r="E19" s="44" t="s">
        <v>1049</v>
      </c>
      <c r="F19" s="44" t="s">
        <v>1050</v>
      </c>
      <c r="G19" s="44" t="s">
        <v>997</v>
      </c>
      <c r="H19" s="45" t="s">
        <v>1051</v>
      </c>
      <c r="I19" s="45" t="s">
        <v>999</v>
      </c>
      <c r="J19" s="45" t="s">
        <v>277</v>
      </c>
      <c r="K19" s="45"/>
      <c r="L19" s="67" t="s">
        <v>1033</v>
      </c>
    </row>
    <row r="20" spans="1:12" ht="132" hidden="1" x14ac:dyDescent="0.35">
      <c r="A20" s="44">
        <v>17</v>
      </c>
      <c r="B20" s="44" t="s">
        <v>994</v>
      </c>
      <c r="C20" s="44" t="s">
        <v>1007</v>
      </c>
      <c r="D20" s="44" t="s">
        <v>1029</v>
      </c>
      <c r="E20" s="44" t="s">
        <v>1052</v>
      </c>
      <c r="F20" s="44" t="s">
        <v>1053</v>
      </c>
      <c r="G20" s="44" t="s">
        <v>997</v>
      </c>
      <c r="H20" s="45" t="s">
        <v>1054</v>
      </c>
      <c r="I20" s="45" t="s">
        <v>999</v>
      </c>
      <c r="J20" s="45" t="s">
        <v>277</v>
      </c>
      <c r="K20" s="45"/>
      <c r="L20" s="67" t="s">
        <v>1033</v>
      </c>
    </row>
    <row r="21" spans="1:12" ht="132" hidden="1" x14ac:dyDescent="0.35">
      <c r="A21" s="44">
        <v>18</v>
      </c>
      <c r="B21" s="44" t="s">
        <v>994</v>
      </c>
      <c r="C21" s="44" t="s">
        <v>1007</v>
      </c>
      <c r="D21" s="44" t="s">
        <v>1029</v>
      </c>
      <c r="E21" s="44" t="s">
        <v>1055</v>
      </c>
      <c r="F21" s="44" t="s">
        <v>1056</v>
      </c>
      <c r="G21" s="44" t="s">
        <v>997</v>
      </c>
      <c r="H21" s="45" t="s">
        <v>1057</v>
      </c>
      <c r="I21" s="45" t="s">
        <v>999</v>
      </c>
      <c r="J21" s="45" t="s">
        <v>277</v>
      </c>
      <c r="K21" s="45"/>
      <c r="L21" s="67" t="s">
        <v>1033</v>
      </c>
    </row>
    <row r="22" spans="1:12" ht="84" hidden="1" x14ac:dyDescent="0.35">
      <c r="A22" s="44">
        <v>19</v>
      </c>
      <c r="B22" s="44" t="s">
        <v>994</v>
      </c>
      <c r="C22" s="44" t="s">
        <v>1007</v>
      </c>
      <c r="D22" s="44" t="s">
        <v>1058</v>
      </c>
      <c r="E22" s="44" t="s">
        <v>1059</v>
      </c>
      <c r="F22" s="44" t="s">
        <v>1060</v>
      </c>
      <c r="G22" s="44" t="s">
        <v>997</v>
      </c>
      <c r="H22" s="45" t="s">
        <v>1061</v>
      </c>
      <c r="I22" s="45" t="s">
        <v>999</v>
      </c>
      <c r="J22" s="45" t="s">
        <v>277</v>
      </c>
      <c r="K22" s="45"/>
      <c r="L22" s="67" t="s">
        <v>1062</v>
      </c>
    </row>
    <row r="23" spans="1:12" ht="84" hidden="1" x14ac:dyDescent="0.35">
      <c r="A23" s="44">
        <v>20</v>
      </c>
      <c r="B23" s="44" t="s">
        <v>994</v>
      </c>
      <c r="C23" s="44" t="s">
        <v>1007</v>
      </c>
      <c r="D23" s="44" t="s">
        <v>1058</v>
      </c>
      <c r="E23" s="44" t="s">
        <v>1063</v>
      </c>
      <c r="F23" s="44" t="s">
        <v>1064</v>
      </c>
      <c r="G23" s="44" t="s">
        <v>997</v>
      </c>
      <c r="H23" s="45" t="s">
        <v>1065</v>
      </c>
      <c r="I23" s="45" t="s">
        <v>999</v>
      </c>
      <c r="J23" s="45" t="s">
        <v>277</v>
      </c>
      <c r="K23" s="45"/>
      <c r="L23" s="67" t="s">
        <v>1062</v>
      </c>
    </row>
    <row r="24" spans="1:12" ht="96" hidden="1" x14ac:dyDescent="0.35">
      <c r="A24" s="44">
        <v>21</v>
      </c>
      <c r="B24" s="44" t="s">
        <v>994</v>
      </c>
      <c r="C24" s="44" t="s">
        <v>1007</v>
      </c>
      <c r="D24" s="44" t="s">
        <v>1066</v>
      </c>
      <c r="E24" s="44" t="s">
        <v>1067</v>
      </c>
      <c r="F24" s="44" t="s">
        <v>1068</v>
      </c>
      <c r="G24" s="44" t="s">
        <v>997</v>
      </c>
      <c r="H24" s="45" t="s">
        <v>1069</v>
      </c>
      <c r="I24" s="45" t="s">
        <v>999</v>
      </c>
      <c r="J24" s="45" t="s">
        <v>277</v>
      </c>
      <c r="K24" s="45"/>
      <c r="L24" s="67" t="s">
        <v>1012</v>
      </c>
    </row>
    <row r="25" spans="1:12" ht="96" hidden="1" x14ac:dyDescent="0.35">
      <c r="A25" s="44">
        <v>22</v>
      </c>
      <c r="B25" s="44" t="s">
        <v>994</v>
      </c>
      <c r="C25" s="44" t="s">
        <v>1007</v>
      </c>
      <c r="D25" s="44" t="s">
        <v>1066</v>
      </c>
      <c r="E25" s="44" t="s">
        <v>1070</v>
      </c>
      <c r="F25" s="44" t="s">
        <v>1071</v>
      </c>
      <c r="G25" s="44" t="s">
        <v>997</v>
      </c>
      <c r="H25" s="45" t="s">
        <v>1072</v>
      </c>
      <c r="I25" s="45" t="s">
        <v>999</v>
      </c>
      <c r="J25" s="45" t="s">
        <v>277</v>
      </c>
      <c r="K25" s="45"/>
      <c r="L25" s="67" t="s">
        <v>1012</v>
      </c>
    </row>
    <row r="26" spans="1:12" ht="96" hidden="1" x14ac:dyDescent="0.35">
      <c r="A26" s="44">
        <v>23</v>
      </c>
      <c r="B26" s="44" t="s">
        <v>994</v>
      </c>
      <c r="C26" s="44" t="s">
        <v>1007</v>
      </c>
      <c r="D26" s="44" t="s">
        <v>1066</v>
      </c>
      <c r="E26" s="44" t="s">
        <v>1073</v>
      </c>
      <c r="F26" s="44" t="s">
        <v>1074</v>
      </c>
      <c r="G26" s="44" t="s">
        <v>997</v>
      </c>
      <c r="H26" s="45" t="s">
        <v>1075</v>
      </c>
      <c r="I26" s="45" t="s">
        <v>999</v>
      </c>
      <c r="J26" s="45" t="s">
        <v>277</v>
      </c>
      <c r="K26" s="45"/>
      <c r="L26" s="67" t="s">
        <v>1012</v>
      </c>
    </row>
    <row r="27" spans="1:12" ht="96" hidden="1" x14ac:dyDescent="0.35">
      <c r="A27" s="44">
        <v>24</v>
      </c>
      <c r="B27" s="44" t="s">
        <v>994</v>
      </c>
      <c r="C27" s="44" t="s">
        <v>1007</v>
      </c>
      <c r="D27" s="44" t="s">
        <v>1066</v>
      </c>
      <c r="E27" s="44" t="s">
        <v>1076</v>
      </c>
      <c r="F27" s="44" t="s">
        <v>1077</v>
      </c>
      <c r="G27" s="44" t="s">
        <v>997</v>
      </c>
      <c r="H27" s="45" t="s">
        <v>1078</v>
      </c>
      <c r="I27" s="45" t="s">
        <v>999</v>
      </c>
      <c r="J27" s="45" t="s">
        <v>277</v>
      </c>
      <c r="K27" s="45"/>
      <c r="L27" s="67" t="s">
        <v>1012</v>
      </c>
    </row>
    <row r="28" spans="1:12" ht="96" hidden="1" x14ac:dyDescent="0.35">
      <c r="A28" s="44">
        <v>25</v>
      </c>
      <c r="B28" s="44" t="s">
        <v>994</v>
      </c>
      <c r="C28" s="44" t="s">
        <v>1007</v>
      </c>
      <c r="D28" s="44" t="s">
        <v>1066</v>
      </c>
      <c r="E28" s="44" t="s">
        <v>1079</v>
      </c>
      <c r="F28" s="44" t="s">
        <v>1080</v>
      </c>
      <c r="G28" s="44" t="s">
        <v>997</v>
      </c>
      <c r="H28" s="45" t="s">
        <v>1081</v>
      </c>
      <c r="I28" s="45" t="s">
        <v>999</v>
      </c>
      <c r="J28" s="45" t="s">
        <v>277</v>
      </c>
      <c r="K28" s="45"/>
      <c r="L28" s="67" t="s">
        <v>1012</v>
      </c>
    </row>
    <row r="29" spans="1:12" ht="96" hidden="1" x14ac:dyDescent="0.35">
      <c r="A29" s="44">
        <v>26</v>
      </c>
      <c r="B29" s="44" t="s">
        <v>994</v>
      </c>
      <c r="C29" s="44" t="s">
        <v>1007</v>
      </c>
      <c r="D29" s="44" t="s">
        <v>1082</v>
      </c>
      <c r="E29" s="44" t="s">
        <v>1083</v>
      </c>
      <c r="F29" s="44" t="s">
        <v>1084</v>
      </c>
      <c r="G29" s="44" t="s">
        <v>997</v>
      </c>
      <c r="H29" s="45" t="s">
        <v>1085</v>
      </c>
      <c r="I29" s="45" t="s">
        <v>999</v>
      </c>
      <c r="J29" s="45" t="s">
        <v>277</v>
      </c>
      <c r="K29" s="45"/>
      <c r="L29" s="67" t="s">
        <v>1012</v>
      </c>
    </row>
    <row r="30" spans="1:12" ht="96" hidden="1" x14ac:dyDescent="0.35">
      <c r="A30" s="44">
        <v>27</v>
      </c>
      <c r="B30" s="44" t="s">
        <v>994</v>
      </c>
      <c r="C30" s="44" t="s">
        <v>1007</v>
      </c>
      <c r="D30" s="44" t="s">
        <v>1082</v>
      </c>
      <c r="E30" s="44" t="s">
        <v>1086</v>
      </c>
      <c r="F30" s="44" t="s">
        <v>1087</v>
      </c>
      <c r="G30" s="44" t="s">
        <v>997</v>
      </c>
      <c r="H30" s="45" t="s">
        <v>1088</v>
      </c>
      <c r="I30" s="45" t="s">
        <v>999</v>
      </c>
      <c r="J30" s="45" t="s">
        <v>277</v>
      </c>
      <c r="K30" s="45"/>
      <c r="L30" s="67" t="s">
        <v>1012</v>
      </c>
    </row>
    <row r="31" spans="1:12" ht="108" hidden="1" x14ac:dyDescent="0.35">
      <c r="A31" s="44">
        <v>28</v>
      </c>
      <c r="B31" s="44" t="s">
        <v>994</v>
      </c>
      <c r="C31" s="44" t="s">
        <v>1007</v>
      </c>
      <c r="D31" s="44" t="s">
        <v>1089</v>
      </c>
      <c r="E31" s="44" t="s">
        <v>1090</v>
      </c>
      <c r="F31" s="44" t="s">
        <v>1091</v>
      </c>
      <c r="G31" s="44" t="s">
        <v>997</v>
      </c>
      <c r="H31" s="45" t="s">
        <v>1092</v>
      </c>
      <c r="I31" s="45" t="s">
        <v>999</v>
      </c>
      <c r="J31" s="45" t="s">
        <v>277</v>
      </c>
      <c r="K31" s="45"/>
      <c r="L31" s="67" t="s">
        <v>1093</v>
      </c>
    </row>
    <row r="32" spans="1:12" ht="108" hidden="1" x14ac:dyDescent="0.35">
      <c r="A32" s="44">
        <v>29</v>
      </c>
      <c r="B32" s="44" t="s">
        <v>994</v>
      </c>
      <c r="C32" s="44" t="s">
        <v>1007</v>
      </c>
      <c r="D32" s="44" t="s">
        <v>1089</v>
      </c>
      <c r="E32" s="44" t="s">
        <v>1094</v>
      </c>
      <c r="F32" s="44" t="s">
        <v>1095</v>
      </c>
      <c r="G32" s="44" t="s">
        <v>997</v>
      </c>
      <c r="H32" s="45" t="s">
        <v>1096</v>
      </c>
      <c r="I32" s="45" t="s">
        <v>999</v>
      </c>
      <c r="J32" s="45" t="s">
        <v>277</v>
      </c>
      <c r="K32" s="45"/>
      <c r="L32" s="67" t="s">
        <v>1093</v>
      </c>
    </row>
    <row r="33" spans="1:12" ht="108" hidden="1" x14ac:dyDescent="0.35">
      <c r="A33" s="44">
        <v>30</v>
      </c>
      <c r="B33" s="44" t="s">
        <v>994</v>
      </c>
      <c r="C33" s="44" t="s">
        <v>1007</v>
      </c>
      <c r="D33" s="44" t="s">
        <v>1089</v>
      </c>
      <c r="E33" s="44" t="s">
        <v>1097</v>
      </c>
      <c r="F33" s="44" t="s">
        <v>1098</v>
      </c>
      <c r="G33" s="44" t="s">
        <v>997</v>
      </c>
      <c r="H33" s="45" t="s">
        <v>1099</v>
      </c>
      <c r="I33" s="45" t="s">
        <v>999</v>
      </c>
      <c r="J33" s="45" t="s">
        <v>277</v>
      </c>
      <c r="K33" s="45"/>
      <c r="L33" s="67" t="s">
        <v>1093</v>
      </c>
    </row>
    <row r="34" spans="1:12" ht="108" hidden="1" x14ac:dyDescent="0.35">
      <c r="A34" s="44">
        <v>31</v>
      </c>
      <c r="B34" s="44" t="s">
        <v>994</v>
      </c>
      <c r="C34" s="44" t="s">
        <v>1007</v>
      </c>
      <c r="D34" s="44" t="s">
        <v>1089</v>
      </c>
      <c r="E34" s="44" t="s">
        <v>1100</v>
      </c>
      <c r="F34" s="44" t="s">
        <v>1101</v>
      </c>
      <c r="G34" s="44" t="s">
        <v>997</v>
      </c>
      <c r="H34" s="45" t="s">
        <v>1102</v>
      </c>
      <c r="I34" s="45" t="s">
        <v>999</v>
      </c>
      <c r="J34" s="45" t="s">
        <v>277</v>
      </c>
      <c r="K34" s="45"/>
      <c r="L34" s="67" t="s">
        <v>1093</v>
      </c>
    </row>
    <row r="35" spans="1:12" ht="108" hidden="1" x14ac:dyDescent="0.35">
      <c r="A35" s="44">
        <v>32</v>
      </c>
      <c r="B35" s="44" t="s">
        <v>994</v>
      </c>
      <c r="C35" s="44" t="s">
        <v>1007</v>
      </c>
      <c r="D35" s="44" t="s">
        <v>1089</v>
      </c>
      <c r="E35" s="44" t="s">
        <v>1103</v>
      </c>
      <c r="F35" s="44" t="s">
        <v>1104</v>
      </c>
      <c r="G35" s="44" t="s">
        <v>997</v>
      </c>
      <c r="H35" s="45" t="s">
        <v>1105</v>
      </c>
      <c r="I35" s="45" t="s">
        <v>999</v>
      </c>
      <c r="J35" s="45" t="s">
        <v>277</v>
      </c>
      <c r="K35" s="45"/>
      <c r="L35" s="67" t="s">
        <v>1093</v>
      </c>
    </row>
    <row r="36" spans="1:12" ht="108" hidden="1" x14ac:dyDescent="0.35">
      <c r="A36" s="44">
        <v>33</v>
      </c>
      <c r="B36" s="44" t="s">
        <v>994</v>
      </c>
      <c r="C36" s="44" t="s">
        <v>1007</v>
      </c>
      <c r="D36" s="44" t="s">
        <v>1089</v>
      </c>
      <c r="E36" s="44" t="s">
        <v>1106</v>
      </c>
      <c r="F36" s="44" t="s">
        <v>1107</v>
      </c>
      <c r="G36" s="44" t="s">
        <v>997</v>
      </c>
      <c r="H36" s="45" t="s">
        <v>1108</v>
      </c>
      <c r="I36" s="45" t="s">
        <v>999</v>
      </c>
      <c r="J36" s="45" t="s">
        <v>277</v>
      </c>
      <c r="K36" s="45"/>
      <c r="L36" s="67" t="s">
        <v>1093</v>
      </c>
    </row>
    <row r="37" spans="1:12" ht="96" hidden="1" x14ac:dyDescent="0.35">
      <c r="A37" s="44">
        <v>34</v>
      </c>
      <c r="B37" s="44" t="s">
        <v>994</v>
      </c>
      <c r="C37" s="44" t="s">
        <v>179</v>
      </c>
      <c r="D37" s="44" t="s">
        <v>995</v>
      </c>
      <c r="E37" s="44" t="s">
        <v>1109</v>
      </c>
      <c r="F37" s="44"/>
      <c r="G37" s="44" t="s">
        <v>1110</v>
      </c>
      <c r="H37" s="45" t="s">
        <v>1111</v>
      </c>
      <c r="I37" s="45" t="s">
        <v>1112</v>
      </c>
      <c r="J37" s="45" t="s">
        <v>277</v>
      </c>
      <c r="K37" s="45"/>
      <c r="L37" s="67" t="s">
        <v>1113</v>
      </c>
    </row>
    <row r="38" spans="1:12" ht="96" hidden="1" x14ac:dyDescent="0.35">
      <c r="A38" s="44">
        <v>35</v>
      </c>
      <c r="B38" s="44" t="s">
        <v>994</v>
      </c>
      <c r="C38" s="44" t="s">
        <v>179</v>
      </c>
      <c r="D38" s="44" t="s">
        <v>995</v>
      </c>
      <c r="E38" s="44" t="s">
        <v>1114</v>
      </c>
      <c r="F38" s="44"/>
      <c r="G38" s="44" t="s">
        <v>1110</v>
      </c>
      <c r="H38" s="45" t="s">
        <v>1115</v>
      </c>
      <c r="I38" s="45" t="s">
        <v>1112</v>
      </c>
      <c r="J38" s="45" t="s">
        <v>277</v>
      </c>
      <c r="K38" s="45"/>
      <c r="L38" s="67" t="s">
        <v>1113</v>
      </c>
    </row>
    <row r="39" spans="1:12" ht="96" hidden="1" x14ac:dyDescent="0.35">
      <c r="A39" s="44">
        <v>36</v>
      </c>
      <c r="B39" s="44" t="s">
        <v>994</v>
      </c>
      <c r="C39" s="44" t="s">
        <v>179</v>
      </c>
      <c r="D39" s="44" t="s">
        <v>995</v>
      </c>
      <c r="E39" s="44" t="s">
        <v>1116</v>
      </c>
      <c r="F39" s="44"/>
      <c r="G39" s="44" t="s">
        <v>1110</v>
      </c>
      <c r="H39" s="45" t="s">
        <v>1117</v>
      </c>
      <c r="I39" s="45" t="s">
        <v>1112</v>
      </c>
      <c r="J39" s="45" t="s">
        <v>277</v>
      </c>
      <c r="K39" s="45"/>
      <c r="L39" s="67" t="s">
        <v>1113</v>
      </c>
    </row>
    <row r="40" spans="1:12" ht="96" hidden="1" x14ac:dyDescent="0.35">
      <c r="A40" s="44">
        <v>37</v>
      </c>
      <c r="B40" s="44" t="s">
        <v>994</v>
      </c>
      <c r="C40" s="44" t="s">
        <v>1007</v>
      </c>
      <c r="D40" s="44" t="s">
        <v>1008</v>
      </c>
      <c r="E40" s="44" t="s">
        <v>1118</v>
      </c>
      <c r="F40" s="44" t="s">
        <v>1119</v>
      </c>
      <c r="G40" s="44" t="s">
        <v>1110</v>
      </c>
      <c r="H40" s="45" t="s">
        <v>1120</v>
      </c>
      <c r="I40" s="45" t="s">
        <v>1112</v>
      </c>
      <c r="J40" s="45" t="s">
        <v>277</v>
      </c>
      <c r="K40" s="45"/>
      <c r="L40" s="67" t="s">
        <v>1121</v>
      </c>
    </row>
    <row r="41" spans="1:12" ht="96" hidden="1" x14ac:dyDescent="0.35">
      <c r="A41" s="44">
        <v>38</v>
      </c>
      <c r="B41" s="44" t="s">
        <v>994</v>
      </c>
      <c r="C41" s="44" t="s">
        <v>1007</v>
      </c>
      <c r="D41" s="44" t="s">
        <v>1008</v>
      </c>
      <c r="E41" s="44" t="s">
        <v>1122</v>
      </c>
      <c r="F41" s="44" t="s">
        <v>1123</v>
      </c>
      <c r="G41" s="44" t="s">
        <v>1110</v>
      </c>
      <c r="H41" s="45" t="s">
        <v>1124</v>
      </c>
      <c r="I41" s="45" t="s">
        <v>1112</v>
      </c>
      <c r="J41" s="45" t="s">
        <v>277</v>
      </c>
      <c r="K41" s="45"/>
      <c r="L41" s="67" t="s">
        <v>1121</v>
      </c>
    </row>
    <row r="42" spans="1:12" ht="96" hidden="1" x14ac:dyDescent="0.35">
      <c r="A42" s="44">
        <v>39</v>
      </c>
      <c r="B42" s="44" t="s">
        <v>994</v>
      </c>
      <c r="C42" s="44" t="s">
        <v>1007</v>
      </c>
      <c r="D42" s="44" t="s">
        <v>1016</v>
      </c>
      <c r="E42" s="44" t="s">
        <v>1125</v>
      </c>
      <c r="F42" s="44" t="s">
        <v>1126</v>
      </c>
      <c r="G42" s="44" t="s">
        <v>1110</v>
      </c>
      <c r="H42" s="45" t="s">
        <v>1127</v>
      </c>
      <c r="I42" s="45" t="s">
        <v>1112</v>
      </c>
      <c r="J42" s="45" t="s">
        <v>277</v>
      </c>
      <c r="K42" s="45"/>
      <c r="L42" s="67" t="s">
        <v>1121</v>
      </c>
    </row>
    <row r="43" spans="1:12" ht="96" hidden="1" x14ac:dyDescent="0.35">
      <c r="A43" s="44">
        <v>40</v>
      </c>
      <c r="B43" s="44" t="s">
        <v>994</v>
      </c>
      <c r="C43" s="44" t="s">
        <v>1007</v>
      </c>
      <c r="D43" s="44" t="s">
        <v>1016</v>
      </c>
      <c r="E43" s="44" t="s">
        <v>1128</v>
      </c>
      <c r="F43" s="44" t="s">
        <v>1129</v>
      </c>
      <c r="G43" s="44" t="s">
        <v>1110</v>
      </c>
      <c r="H43" s="45" t="s">
        <v>1130</v>
      </c>
      <c r="I43" s="45" t="s">
        <v>1112</v>
      </c>
      <c r="J43" s="45" t="s">
        <v>277</v>
      </c>
      <c r="K43" s="45"/>
      <c r="L43" s="67" t="s">
        <v>1121</v>
      </c>
    </row>
    <row r="44" spans="1:12" ht="96" hidden="1" x14ac:dyDescent="0.35">
      <c r="A44" s="44">
        <v>41</v>
      </c>
      <c r="B44" s="44" t="s">
        <v>994</v>
      </c>
      <c r="C44" s="44" t="s">
        <v>1007</v>
      </c>
      <c r="D44" s="44" t="s">
        <v>1016</v>
      </c>
      <c r="E44" s="44" t="s">
        <v>1131</v>
      </c>
      <c r="F44" s="44" t="s">
        <v>1132</v>
      </c>
      <c r="G44" s="44" t="s">
        <v>1110</v>
      </c>
      <c r="H44" s="45" t="s">
        <v>1133</v>
      </c>
      <c r="I44" s="45" t="s">
        <v>1112</v>
      </c>
      <c r="J44" s="45" t="s">
        <v>277</v>
      </c>
      <c r="K44" s="45"/>
      <c r="L44" s="67" t="s">
        <v>1121</v>
      </c>
    </row>
    <row r="45" spans="1:12" ht="96" hidden="1" x14ac:dyDescent="0.35">
      <c r="A45" s="44">
        <v>42</v>
      </c>
      <c r="B45" s="44" t="s">
        <v>994</v>
      </c>
      <c r="C45" s="44" t="s">
        <v>1007</v>
      </c>
      <c r="D45" s="44" t="s">
        <v>1016</v>
      </c>
      <c r="E45" s="44" t="s">
        <v>1128</v>
      </c>
      <c r="F45" s="44" t="s">
        <v>1129</v>
      </c>
      <c r="G45" s="44" t="s">
        <v>1110</v>
      </c>
      <c r="H45" s="45" t="s">
        <v>1134</v>
      </c>
      <c r="I45" s="45" t="s">
        <v>1112</v>
      </c>
      <c r="J45" s="45" t="s">
        <v>277</v>
      </c>
      <c r="K45" s="45"/>
      <c r="L45" s="67" t="s">
        <v>1121</v>
      </c>
    </row>
    <row r="46" spans="1:12" ht="132" hidden="1" x14ac:dyDescent="0.35">
      <c r="A46" s="44">
        <v>43</v>
      </c>
      <c r="B46" s="44" t="s">
        <v>994</v>
      </c>
      <c r="C46" s="44" t="s">
        <v>1007</v>
      </c>
      <c r="D46" s="44" t="s">
        <v>1135</v>
      </c>
      <c r="E46" s="44" t="s">
        <v>1136</v>
      </c>
      <c r="F46" s="44" t="s">
        <v>1137</v>
      </c>
      <c r="G46" s="44" t="s">
        <v>1110</v>
      </c>
      <c r="H46" s="45" t="s">
        <v>1138</v>
      </c>
      <c r="I46" s="45" t="s">
        <v>1112</v>
      </c>
      <c r="J46" s="45" t="s">
        <v>277</v>
      </c>
      <c r="K46" s="45"/>
      <c r="L46" s="67" t="s">
        <v>1139</v>
      </c>
    </row>
    <row r="47" spans="1:12" ht="132" hidden="1" x14ac:dyDescent="0.35">
      <c r="A47" s="44">
        <v>44</v>
      </c>
      <c r="B47" s="44" t="s">
        <v>994</v>
      </c>
      <c r="C47" s="44" t="s">
        <v>1007</v>
      </c>
      <c r="D47" s="44" t="s">
        <v>1135</v>
      </c>
      <c r="E47" s="44" t="s">
        <v>1140</v>
      </c>
      <c r="F47" s="44" t="s">
        <v>1141</v>
      </c>
      <c r="G47" s="44" t="s">
        <v>1110</v>
      </c>
      <c r="H47" s="45" t="s">
        <v>1142</v>
      </c>
      <c r="I47" s="45" t="s">
        <v>1112</v>
      </c>
      <c r="J47" s="45" t="s">
        <v>277</v>
      </c>
      <c r="K47" s="45"/>
      <c r="L47" s="67" t="s">
        <v>1139</v>
      </c>
    </row>
    <row r="48" spans="1:12" ht="132" hidden="1" x14ac:dyDescent="0.35">
      <c r="A48" s="44">
        <v>45</v>
      </c>
      <c r="B48" s="44" t="s">
        <v>994</v>
      </c>
      <c r="C48" s="44" t="s">
        <v>1007</v>
      </c>
      <c r="D48" s="44" t="s">
        <v>1135</v>
      </c>
      <c r="E48" s="44" t="s">
        <v>1143</v>
      </c>
      <c r="F48" s="44" t="s">
        <v>1144</v>
      </c>
      <c r="G48" s="44" t="s">
        <v>1110</v>
      </c>
      <c r="H48" s="45" t="s">
        <v>1145</v>
      </c>
      <c r="I48" s="45" t="s">
        <v>1112</v>
      </c>
      <c r="J48" s="45" t="s">
        <v>277</v>
      </c>
      <c r="K48" s="45"/>
      <c r="L48" s="67" t="s">
        <v>1139</v>
      </c>
    </row>
    <row r="49" spans="1:12" ht="132" hidden="1" x14ac:dyDescent="0.35">
      <c r="A49" s="44">
        <v>46</v>
      </c>
      <c r="B49" s="44" t="s">
        <v>994</v>
      </c>
      <c r="C49" s="44" t="s">
        <v>1007</v>
      </c>
      <c r="D49" s="44" t="s">
        <v>1135</v>
      </c>
      <c r="E49" s="44" t="s">
        <v>1146</v>
      </c>
      <c r="F49" s="44" t="s">
        <v>1147</v>
      </c>
      <c r="G49" s="44" t="s">
        <v>1110</v>
      </c>
      <c r="H49" s="45" t="s">
        <v>1148</v>
      </c>
      <c r="I49" s="45" t="s">
        <v>1112</v>
      </c>
      <c r="J49" s="45" t="s">
        <v>277</v>
      </c>
      <c r="K49" s="45"/>
      <c r="L49" s="67" t="s">
        <v>1139</v>
      </c>
    </row>
    <row r="50" spans="1:12" ht="132" hidden="1" x14ac:dyDescent="0.35">
      <c r="A50" s="44">
        <v>47</v>
      </c>
      <c r="B50" s="44" t="s">
        <v>994</v>
      </c>
      <c r="C50" s="44" t="s">
        <v>1007</v>
      </c>
      <c r="D50" s="44" t="s">
        <v>1135</v>
      </c>
      <c r="E50" s="44" t="s">
        <v>1149</v>
      </c>
      <c r="F50" s="44" t="s">
        <v>1150</v>
      </c>
      <c r="G50" s="44" t="s">
        <v>1110</v>
      </c>
      <c r="H50" s="45" t="s">
        <v>1151</v>
      </c>
      <c r="I50" s="45" t="s">
        <v>1112</v>
      </c>
      <c r="J50" s="45" t="s">
        <v>277</v>
      </c>
      <c r="K50" s="45"/>
      <c r="L50" s="67" t="s">
        <v>1139</v>
      </c>
    </row>
    <row r="51" spans="1:12" ht="132" hidden="1" x14ac:dyDescent="0.35">
      <c r="A51" s="44">
        <v>48</v>
      </c>
      <c r="B51" s="44" t="s">
        <v>994</v>
      </c>
      <c r="C51" s="44" t="s">
        <v>1007</v>
      </c>
      <c r="D51" s="44" t="s">
        <v>1135</v>
      </c>
      <c r="E51" s="44" t="s">
        <v>1152</v>
      </c>
      <c r="F51" s="44" t="s">
        <v>1153</v>
      </c>
      <c r="G51" s="44" t="s">
        <v>1110</v>
      </c>
      <c r="H51" s="45" t="s">
        <v>1154</v>
      </c>
      <c r="I51" s="45" t="s">
        <v>1112</v>
      </c>
      <c r="J51" s="45" t="s">
        <v>277</v>
      </c>
      <c r="K51" s="45"/>
      <c r="L51" s="67" t="s">
        <v>1139</v>
      </c>
    </row>
    <row r="52" spans="1:12" ht="132" hidden="1" x14ac:dyDescent="0.35">
      <c r="A52" s="44">
        <v>49</v>
      </c>
      <c r="B52" s="44" t="s">
        <v>994</v>
      </c>
      <c r="C52" s="44" t="s">
        <v>1007</v>
      </c>
      <c r="D52" s="44" t="s">
        <v>1135</v>
      </c>
      <c r="E52" s="44" t="s">
        <v>1155</v>
      </c>
      <c r="F52" s="44" t="s">
        <v>1156</v>
      </c>
      <c r="G52" s="44" t="s">
        <v>1110</v>
      </c>
      <c r="H52" s="45" t="s">
        <v>1157</v>
      </c>
      <c r="I52" s="45" t="s">
        <v>1112</v>
      </c>
      <c r="J52" s="45" t="s">
        <v>277</v>
      </c>
      <c r="K52" s="45"/>
      <c r="L52" s="67" t="s">
        <v>1139</v>
      </c>
    </row>
    <row r="53" spans="1:12" ht="132" hidden="1" x14ac:dyDescent="0.35">
      <c r="A53" s="44">
        <v>50</v>
      </c>
      <c r="B53" s="44" t="s">
        <v>994</v>
      </c>
      <c r="C53" s="44" t="s">
        <v>1007</v>
      </c>
      <c r="D53" s="44" t="s">
        <v>1135</v>
      </c>
      <c r="E53" s="44" t="s">
        <v>1158</v>
      </c>
      <c r="F53" s="44" t="s">
        <v>1159</v>
      </c>
      <c r="G53" s="44" t="s">
        <v>1110</v>
      </c>
      <c r="H53" s="45" t="s">
        <v>1160</v>
      </c>
      <c r="I53" s="45" t="s">
        <v>1112</v>
      </c>
      <c r="J53" s="45" t="s">
        <v>277</v>
      </c>
      <c r="K53" s="45"/>
      <c r="L53" s="67" t="s">
        <v>1139</v>
      </c>
    </row>
    <row r="54" spans="1:12" ht="132" hidden="1" x14ac:dyDescent="0.35">
      <c r="A54" s="44">
        <v>51</v>
      </c>
      <c r="B54" s="44" t="s">
        <v>994</v>
      </c>
      <c r="C54" s="44" t="s">
        <v>1007</v>
      </c>
      <c r="D54" s="44" t="s">
        <v>1135</v>
      </c>
      <c r="E54" s="44" t="s">
        <v>1161</v>
      </c>
      <c r="F54" s="44" t="s">
        <v>1162</v>
      </c>
      <c r="G54" s="44" t="s">
        <v>1110</v>
      </c>
      <c r="H54" s="45" t="s">
        <v>1163</v>
      </c>
      <c r="I54" s="45" t="s">
        <v>1112</v>
      </c>
      <c r="J54" s="45" t="s">
        <v>277</v>
      </c>
      <c r="K54" s="45"/>
      <c r="L54" s="67" t="s">
        <v>1139</v>
      </c>
    </row>
    <row r="55" spans="1:12" ht="132" hidden="1" x14ac:dyDescent="0.35">
      <c r="A55" s="44">
        <v>52</v>
      </c>
      <c r="B55" s="44" t="s">
        <v>994</v>
      </c>
      <c r="C55" s="44" t="s">
        <v>1007</v>
      </c>
      <c r="D55" s="44" t="s">
        <v>1135</v>
      </c>
      <c r="E55" s="44" t="s">
        <v>1164</v>
      </c>
      <c r="F55" s="44" t="s">
        <v>1164</v>
      </c>
      <c r="G55" s="44" t="s">
        <v>1110</v>
      </c>
      <c r="H55" s="45" t="s">
        <v>1165</v>
      </c>
      <c r="I55" s="45" t="s">
        <v>1112</v>
      </c>
      <c r="J55" s="45" t="s">
        <v>277</v>
      </c>
      <c r="K55" s="45"/>
      <c r="L55" s="67" t="s">
        <v>1139</v>
      </c>
    </row>
    <row r="56" spans="1:12" ht="132" hidden="1" x14ac:dyDescent="0.35">
      <c r="A56" s="44">
        <v>53</v>
      </c>
      <c r="B56" s="44" t="s">
        <v>994</v>
      </c>
      <c r="C56" s="44" t="s">
        <v>1007</v>
      </c>
      <c r="D56" s="44" t="s">
        <v>1135</v>
      </c>
      <c r="E56" s="44" t="s">
        <v>1166</v>
      </c>
      <c r="F56" s="44" t="s">
        <v>1166</v>
      </c>
      <c r="G56" s="44" t="s">
        <v>1110</v>
      </c>
      <c r="H56" s="45" t="s">
        <v>1167</v>
      </c>
      <c r="I56" s="45" t="s">
        <v>1112</v>
      </c>
      <c r="J56" s="45" t="s">
        <v>277</v>
      </c>
      <c r="K56" s="45"/>
      <c r="L56" s="67" t="s">
        <v>1139</v>
      </c>
    </row>
    <row r="57" spans="1:12" ht="132" hidden="1" x14ac:dyDescent="0.35">
      <c r="A57" s="44">
        <v>54</v>
      </c>
      <c r="B57" s="44" t="s">
        <v>994</v>
      </c>
      <c r="C57" s="44" t="s">
        <v>1007</v>
      </c>
      <c r="D57" s="44" t="s">
        <v>1135</v>
      </c>
      <c r="E57" s="44" t="s">
        <v>1168</v>
      </c>
      <c r="F57" s="44" t="s">
        <v>1168</v>
      </c>
      <c r="G57" s="44" t="s">
        <v>1110</v>
      </c>
      <c r="H57" s="45" t="s">
        <v>1169</v>
      </c>
      <c r="I57" s="45" t="s">
        <v>1112</v>
      </c>
      <c r="J57" s="45" t="s">
        <v>277</v>
      </c>
      <c r="K57" s="45"/>
      <c r="L57" s="67" t="s">
        <v>1139</v>
      </c>
    </row>
    <row r="58" spans="1:12" ht="132" hidden="1" x14ac:dyDescent="0.35">
      <c r="A58" s="44">
        <v>55</v>
      </c>
      <c r="B58" s="44" t="s">
        <v>994</v>
      </c>
      <c r="C58" s="44" t="s">
        <v>1007</v>
      </c>
      <c r="D58" s="44" t="s">
        <v>1135</v>
      </c>
      <c r="E58" s="44" t="s">
        <v>1170</v>
      </c>
      <c r="F58" s="44" t="s">
        <v>1170</v>
      </c>
      <c r="G58" s="44" t="s">
        <v>1110</v>
      </c>
      <c r="H58" s="45" t="s">
        <v>1171</v>
      </c>
      <c r="I58" s="45" t="s">
        <v>1112</v>
      </c>
      <c r="J58" s="45" t="s">
        <v>277</v>
      </c>
      <c r="K58" s="45"/>
      <c r="L58" s="67" t="s">
        <v>1139</v>
      </c>
    </row>
    <row r="59" spans="1:12" ht="132" hidden="1" x14ac:dyDescent="0.35">
      <c r="A59" s="44">
        <v>56</v>
      </c>
      <c r="B59" s="44" t="s">
        <v>994</v>
      </c>
      <c r="C59" s="44" t="s">
        <v>1007</v>
      </c>
      <c r="D59" s="44" t="s">
        <v>1135</v>
      </c>
      <c r="E59" s="44" t="s">
        <v>1172</v>
      </c>
      <c r="F59" s="44" t="s">
        <v>1172</v>
      </c>
      <c r="G59" s="44" t="s">
        <v>1110</v>
      </c>
      <c r="H59" s="45" t="s">
        <v>1173</v>
      </c>
      <c r="I59" s="45" t="s">
        <v>1112</v>
      </c>
      <c r="J59" s="45" t="s">
        <v>277</v>
      </c>
      <c r="K59" s="45"/>
      <c r="L59" s="67" t="s">
        <v>1139</v>
      </c>
    </row>
    <row r="60" spans="1:12" ht="132" hidden="1" x14ac:dyDescent="0.35">
      <c r="A60" s="44">
        <v>57</v>
      </c>
      <c r="B60" s="44" t="s">
        <v>994</v>
      </c>
      <c r="C60" s="44" t="s">
        <v>1007</v>
      </c>
      <c r="D60" s="44" t="s">
        <v>1135</v>
      </c>
      <c r="E60" s="44" t="s">
        <v>1174</v>
      </c>
      <c r="F60" s="44" t="s">
        <v>1174</v>
      </c>
      <c r="G60" s="44" t="s">
        <v>1110</v>
      </c>
      <c r="H60" s="45" t="s">
        <v>1175</v>
      </c>
      <c r="I60" s="45" t="s">
        <v>1112</v>
      </c>
      <c r="J60" s="45" t="s">
        <v>277</v>
      </c>
      <c r="K60" s="45"/>
      <c r="L60" s="67" t="s">
        <v>1139</v>
      </c>
    </row>
    <row r="61" spans="1:12" ht="132" hidden="1" x14ac:dyDescent="0.35">
      <c r="A61" s="44">
        <v>58</v>
      </c>
      <c r="B61" s="44" t="s">
        <v>994</v>
      </c>
      <c r="C61" s="44" t="s">
        <v>1007</v>
      </c>
      <c r="D61" s="44" t="s">
        <v>1135</v>
      </c>
      <c r="E61" s="44" t="s">
        <v>1176</v>
      </c>
      <c r="F61" s="44" t="s">
        <v>1177</v>
      </c>
      <c r="G61" s="44" t="s">
        <v>1110</v>
      </c>
      <c r="H61" s="45" t="s">
        <v>1178</v>
      </c>
      <c r="I61" s="45" t="s">
        <v>1112</v>
      </c>
      <c r="J61" s="45" t="s">
        <v>277</v>
      </c>
      <c r="K61" s="45"/>
      <c r="L61" s="67" t="s">
        <v>1139</v>
      </c>
    </row>
    <row r="62" spans="1:12" ht="132" hidden="1" x14ac:dyDescent="0.35">
      <c r="A62" s="44">
        <v>59</v>
      </c>
      <c r="B62" s="44" t="s">
        <v>994</v>
      </c>
      <c r="C62" s="44" t="s">
        <v>1007</v>
      </c>
      <c r="D62" s="44" t="s">
        <v>1135</v>
      </c>
      <c r="E62" s="44" t="s">
        <v>1179</v>
      </c>
      <c r="F62" s="44" t="s">
        <v>1180</v>
      </c>
      <c r="G62" s="44" t="s">
        <v>1110</v>
      </c>
      <c r="H62" s="45" t="s">
        <v>1181</v>
      </c>
      <c r="I62" s="45" t="s">
        <v>1112</v>
      </c>
      <c r="J62" s="45" t="s">
        <v>277</v>
      </c>
      <c r="K62" s="45"/>
      <c r="L62" s="67" t="s">
        <v>1139</v>
      </c>
    </row>
    <row r="63" spans="1:12" ht="132" hidden="1" x14ac:dyDescent="0.35">
      <c r="A63" s="44">
        <v>60</v>
      </c>
      <c r="B63" s="44" t="s">
        <v>994</v>
      </c>
      <c r="C63" s="44" t="s">
        <v>1007</v>
      </c>
      <c r="D63" s="44" t="s">
        <v>1135</v>
      </c>
      <c r="E63" s="44" t="s">
        <v>1182</v>
      </c>
      <c r="F63" s="44" t="s">
        <v>1183</v>
      </c>
      <c r="G63" s="44" t="s">
        <v>1110</v>
      </c>
      <c r="H63" s="45" t="s">
        <v>1184</v>
      </c>
      <c r="I63" s="45" t="s">
        <v>1112</v>
      </c>
      <c r="J63" s="45" t="s">
        <v>277</v>
      </c>
      <c r="K63" s="45"/>
      <c r="L63" s="67" t="s">
        <v>1139</v>
      </c>
    </row>
    <row r="64" spans="1:12" ht="132" hidden="1" x14ac:dyDescent="0.35">
      <c r="A64" s="44">
        <v>61</v>
      </c>
      <c r="B64" s="44" t="s">
        <v>994</v>
      </c>
      <c r="C64" s="44" t="s">
        <v>1007</v>
      </c>
      <c r="D64" s="44" t="s">
        <v>1135</v>
      </c>
      <c r="E64" s="44" t="s">
        <v>1185</v>
      </c>
      <c r="F64" s="44" t="s">
        <v>1186</v>
      </c>
      <c r="G64" s="44" t="s">
        <v>1110</v>
      </c>
      <c r="H64" s="45" t="s">
        <v>1187</v>
      </c>
      <c r="I64" s="45" t="s">
        <v>1112</v>
      </c>
      <c r="J64" s="45" t="s">
        <v>277</v>
      </c>
      <c r="K64" s="45"/>
      <c r="L64" s="67" t="s">
        <v>1139</v>
      </c>
    </row>
    <row r="65" spans="1:12" ht="132" hidden="1" x14ac:dyDescent="0.35">
      <c r="A65" s="44">
        <v>62</v>
      </c>
      <c r="B65" s="44" t="s">
        <v>994</v>
      </c>
      <c r="C65" s="44" t="s">
        <v>1007</v>
      </c>
      <c r="D65" s="44" t="s">
        <v>1135</v>
      </c>
      <c r="E65" s="44" t="s">
        <v>1188</v>
      </c>
      <c r="F65" s="44" t="s">
        <v>1189</v>
      </c>
      <c r="G65" s="44" t="s">
        <v>1110</v>
      </c>
      <c r="H65" s="45" t="s">
        <v>1190</v>
      </c>
      <c r="I65" s="45" t="s">
        <v>1112</v>
      </c>
      <c r="J65" s="45" t="s">
        <v>277</v>
      </c>
      <c r="K65" s="45"/>
      <c r="L65" s="67" t="s">
        <v>1139</v>
      </c>
    </row>
    <row r="66" spans="1:12" ht="132" hidden="1" x14ac:dyDescent="0.35">
      <c r="A66" s="44">
        <v>63</v>
      </c>
      <c r="B66" s="44" t="s">
        <v>994</v>
      </c>
      <c r="C66" s="44" t="s">
        <v>1007</v>
      </c>
      <c r="D66" s="44" t="s">
        <v>1135</v>
      </c>
      <c r="E66" s="44" t="s">
        <v>1191</v>
      </c>
      <c r="F66" s="44" t="s">
        <v>1192</v>
      </c>
      <c r="G66" s="44" t="s">
        <v>1110</v>
      </c>
      <c r="H66" s="45" t="s">
        <v>1193</v>
      </c>
      <c r="I66" s="45" t="s">
        <v>1112</v>
      </c>
      <c r="J66" s="45" t="s">
        <v>277</v>
      </c>
      <c r="K66" s="45"/>
      <c r="L66" s="67" t="s">
        <v>1139</v>
      </c>
    </row>
    <row r="67" spans="1:12" ht="132" hidden="1" x14ac:dyDescent="0.35">
      <c r="A67" s="44">
        <v>64</v>
      </c>
      <c r="B67" s="44" t="s">
        <v>994</v>
      </c>
      <c r="C67" s="44" t="s">
        <v>1007</v>
      </c>
      <c r="D67" s="44" t="s">
        <v>1135</v>
      </c>
      <c r="E67" s="44" t="s">
        <v>1194</v>
      </c>
      <c r="F67" s="44" t="s">
        <v>1195</v>
      </c>
      <c r="G67" s="44" t="s">
        <v>1110</v>
      </c>
      <c r="H67" s="45" t="s">
        <v>1196</v>
      </c>
      <c r="I67" s="45" t="s">
        <v>1112</v>
      </c>
      <c r="J67" s="45" t="s">
        <v>277</v>
      </c>
      <c r="K67" s="45"/>
      <c r="L67" s="67" t="s">
        <v>1139</v>
      </c>
    </row>
    <row r="68" spans="1:12" ht="132" hidden="1" x14ac:dyDescent="0.35">
      <c r="A68" s="44">
        <v>65</v>
      </c>
      <c r="B68" s="44" t="s">
        <v>994</v>
      </c>
      <c r="C68" s="44" t="s">
        <v>1007</v>
      </c>
      <c r="D68" s="44" t="s">
        <v>1135</v>
      </c>
      <c r="E68" s="44" t="s">
        <v>1197</v>
      </c>
      <c r="F68" s="44" t="s">
        <v>1198</v>
      </c>
      <c r="G68" s="44" t="s">
        <v>1110</v>
      </c>
      <c r="H68" s="45" t="s">
        <v>1199</v>
      </c>
      <c r="I68" s="45" t="s">
        <v>1112</v>
      </c>
      <c r="J68" s="45" t="s">
        <v>277</v>
      </c>
      <c r="K68" s="45"/>
      <c r="L68" s="67" t="s">
        <v>1139</v>
      </c>
    </row>
    <row r="69" spans="1:12" ht="132" hidden="1" x14ac:dyDescent="0.35">
      <c r="A69" s="44">
        <v>66</v>
      </c>
      <c r="B69" s="44" t="s">
        <v>994</v>
      </c>
      <c r="C69" s="44" t="s">
        <v>1007</v>
      </c>
      <c r="D69" s="44" t="s">
        <v>1135</v>
      </c>
      <c r="E69" s="44" t="s">
        <v>1200</v>
      </c>
      <c r="F69" s="44" t="s">
        <v>1201</v>
      </c>
      <c r="G69" s="44" t="s">
        <v>1110</v>
      </c>
      <c r="H69" s="45" t="s">
        <v>1202</v>
      </c>
      <c r="I69" s="45" t="s">
        <v>1112</v>
      </c>
      <c r="J69" s="45" t="s">
        <v>277</v>
      </c>
      <c r="K69" s="45"/>
      <c r="L69" s="67" t="s">
        <v>1139</v>
      </c>
    </row>
    <row r="70" spans="1:12" ht="132" hidden="1" x14ac:dyDescent="0.35">
      <c r="A70" s="44">
        <v>67</v>
      </c>
      <c r="B70" s="44" t="s">
        <v>994</v>
      </c>
      <c r="C70" s="44" t="s">
        <v>1007</v>
      </c>
      <c r="D70" s="44" t="s">
        <v>1135</v>
      </c>
      <c r="E70" s="44" t="s">
        <v>1203</v>
      </c>
      <c r="F70" s="44" t="s">
        <v>1204</v>
      </c>
      <c r="G70" s="44" t="s">
        <v>1110</v>
      </c>
      <c r="H70" s="45" t="s">
        <v>1205</v>
      </c>
      <c r="I70" s="45" t="s">
        <v>1112</v>
      </c>
      <c r="J70" s="45" t="s">
        <v>277</v>
      </c>
      <c r="K70" s="45"/>
      <c r="L70" s="67" t="s">
        <v>1139</v>
      </c>
    </row>
    <row r="71" spans="1:12" ht="132" hidden="1" x14ac:dyDescent="0.35">
      <c r="A71" s="44">
        <v>68</v>
      </c>
      <c r="B71" s="44" t="s">
        <v>994</v>
      </c>
      <c r="C71" s="44" t="s">
        <v>1007</v>
      </c>
      <c r="D71" s="44" t="s">
        <v>1135</v>
      </c>
      <c r="E71" s="44" t="s">
        <v>1206</v>
      </c>
      <c r="F71" s="44" t="s">
        <v>1207</v>
      </c>
      <c r="G71" s="44" t="s">
        <v>1110</v>
      </c>
      <c r="H71" s="45" t="s">
        <v>1208</v>
      </c>
      <c r="I71" s="45" t="s">
        <v>1112</v>
      </c>
      <c r="J71" s="45" t="s">
        <v>277</v>
      </c>
      <c r="K71" s="45"/>
      <c r="L71" s="67" t="s">
        <v>1139</v>
      </c>
    </row>
    <row r="72" spans="1:12" ht="132" hidden="1" x14ac:dyDescent="0.35">
      <c r="A72" s="44">
        <v>69</v>
      </c>
      <c r="B72" s="44" t="s">
        <v>994</v>
      </c>
      <c r="C72" s="44" t="s">
        <v>1007</v>
      </c>
      <c r="D72" s="44" t="s">
        <v>1135</v>
      </c>
      <c r="E72" s="44" t="s">
        <v>1209</v>
      </c>
      <c r="F72" s="44" t="s">
        <v>1210</v>
      </c>
      <c r="G72" s="44" t="s">
        <v>1110</v>
      </c>
      <c r="H72" s="45" t="s">
        <v>1211</v>
      </c>
      <c r="I72" s="45" t="s">
        <v>1112</v>
      </c>
      <c r="J72" s="45" t="s">
        <v>277</v>
      </c>
      <c r="K72" s="45"/>
      <c r="L72" s="67" t="s">
        <v>1139</v>
      </c>
    </row>
    <row r="73" spans="1:12" ht="84" hidden="1" x14ac:dyDescent="0.35">
      <c r="A73" s="44">
        <v>70</v>
      </c>
      <c r="B73" s="44" t="s">
        <v>994</v>
      </c>
      <c r="C73" s="44" t="s">
        <v>1007</v>
      </c>
      <c r="D73" s="44" t="s">
        <v>1212</v>
      </c>
      <c r="E73" s="44" t="s">
        <v>1213</v>
      </c>
      <c r="F73" s="44" t="s">
        <v>1214</v>
      </c>
      <c r="G73" s="44" t="s">
        <v>1110</v>
      </c>
      <c r="H73" s="45" t="s">
        <v>1215</v>
      </c>
      <c r="I73" s="45" t="s">
        <v>1112</v>
      </c>
      <c r="J73" s="45" t="s">
        <v>277</v>
      </c>
      <c r="K73" s="45"/>
      <c r="L73" s="67" t="s">
        <v>1216</v>
      </c>
    </row>
    <row r="74" spans="1:12" ht="84" hidden="1" x14ac:dyDescent="0.35">
      <c r="A74" s="44">
        <v>71</v>
      </c>
      <c r="B74" s="44" t="s">
        <v>994</v>
      </c>
      <c r="C74" s="44" t="s">
        <v>1007</v>
      </c>
      <c r="D74" s="44" t="s">
        <v>1212</v>
      </c>
      <c r="E74" s="44" t="s">
        <v>1217</v>
      </c>
      <c r="F74" s="44" t="s">
        <v>1218</v>
      </c>
      <c r="G74" s="44" t="s">
        <v>1110</v>
      </c>
      <c r="H74" s="45" t="s">
        <v>1219</v>
      </c>
      <c r="I74" s="45" t="s">
        <v>1112</v>
      </c>
      <c r="J74" s="45" t="s">
        <v>277</v>
      </c>
      <c r="K74" s="45"/>
      <c r="L74" s="67" t="s">
        <v>1216</v>
      </c>
    </row>
    <row r="75" spans="1:12" ht="96" hidden="1" x14ac:dyDescent="0.35">
      <c r="A75" s="44">
        <v>72</v>
      </c>
      <c r="B75" s="44" t="s">
        <v>994</v>
      </c>
      <c r="C75" s="44" t="s">
        <v>1007</v>
      </c>
      <c r="D75" s="44" t="s">
        <v>1066</v>
      </c>
      <c r="E75" s="44" t="s">
        <v>1220</v>
      </c>
      <c r="F75" s="44" t="s">
        <v>1221</v>
      </c>
      <c r="G75" s="44" t="s">
        <v>1110</v>
      </c>
      <c r="H75" s="45" t="s">
        <v>1222</v>
      </c>
      <c r="I75" s="45" t="s">
        <v>1112</v>
      </c>
      <c r="J75" s="45" t="s">
        <v>277</v>
      </c>
      <c r="K75" s="45"/>
      <c r="L75" s="67" t="s">
        <v>1121</v>
      </c>
    </row>
    <row r="76" spans="1:12" ht="96" hidden="1" x14ac:dyDescent="0.35">
      <c r="A76" s="44">
        <v>73</v>
      </c>
      <c r="B76" s="44" t="s">
        <v>994</v>
      </c>
      <c r="C76" s="44" t="s">
        <v>1007</v>
      </c>
      <c r="D76" s="44" t="s">
        <v>1066</v>
      </c>
      <c r="E76" s="44" t="s">
        <v>1223</v>
      </c>
      <c r="F76" s="44" t="s">
        <v>1224</v>
      </c>
      <c r="G76" s="44" t="s">
        <v>1110</v>
      </c>
      <c r="H76" s="45" t="s">
        <v>1225</v>
      </c>
      <c r="I76" s="45" t="s">
        <v>1112</v>
      </c>
      <c r="J76" s="45" t="s">
        <v>277</v>
      </c>
      <c r="K76" s="45"/>
      <c r="L76" s="67" t="s">
        <v>1121</v>
      </c>
    </row>
    <row r="77" spans="1:12" ht="96" hidden="1" x14ac:dyDescent="0.35">
      <c r="A77" s="44">
        <v>74</v>
      </c>
      <c r="B77" s="44" t="s">
        <v>994</v>
      </c>
      <c r="C77" s="44" t="s">
        <v>1007</v>
      </c>
      <c r="D77" s="44" t="s">
        <v>1066</v>
      </c>
      <c r="E77" s="44" t="s">
        <v>1226</v>
      </c>
      <c r="F77" s="44" t="s">
        <v>1227</v>
      </c>
      <c r="G77" s="44" t="s">
        <v>1110</v>
      </c>
      <c r="H77" s="45" t="s">
        <v>1228</v>
      </c>
      <c r="I77" s="45" t="s">
        <v>1112</v>
      </c>
      <c r="J77" s="45" t="s">
        <v>277</v>
      </c>
      <c r="K77" s="45"/>
      <c r="L77" s="67" t="s">
        <v>1121</v>
      </c>
    </row>
    <row r="78" spans="1:12" ht="96" hidden="1" x14ac:dyDescent="0.35">
      <c r="A78" s="44">
        <v>75</v>
      </c>
      <c r="B78" s="44" t="s">
        <v>994</v>
      </c>
      <c r="C78" s="44" t="s">
        <v>1007</v>
      </c>
      <c r="D78" s="44" t="s">
        <v>1066</v>
      </c>
      <c r="E78" s="44" t="s">
        <v>1229</v>
      </c>
      <c r="F78" s="44" t="s">
        <v>1230</v>
      </c>
      <c r="G78" s="44" t="s">
        <v>1110</v>
      </c>
      <c r="H78" s="45" t="s">
        <v>1231</v>
      </c>
      <c r="I78" s="45" t="s">
        <v>1112</v>
      </c>
      <c r="J78" s="45" t="s">
        <v>277</v>
      </c>
      <c r="K78" s="45"/>
      <c r="L78" s="67" t="s">
        <v>1121</v>
      </c>
    </row>
    <row r="79" spans="1:12" ht="96" hidden="1" x14ac:dyDescent="0.35">
      <c r="A79" s="44">
        <v>76</v>
      </c>
      <c r="B79" s="44" t="s">
        <v>994</v>
      </c>
      <c r="C79" s="44" t="s">
        <v>1007</v>
      </c>
      <c r="D79" s="44" t="s">
        <v>1066</v>
      </c>
      <c r="E79" s="44" t="s">
        <v>1232</v>
      </c>
      <c r="F79" s="44" t="s">
        <v>1233</v>
      </c>
      <c r="G79" s="44" t="s">
        <v>1110</v>
      </c>
      <c r="H79" s="45" t="s">
        <v>1234</v>
      </c>
      <c r="I79" s="45" t="s">
        <v>1112</v>
      </c>
      <c r="J79" s="45" t="s">
        <v>277</v>
      </c>
      <c r="K79" s="45"/>
      <c r="L79" s="67" t="s">
        <v>1121</v>
      </c>
    </row>
    <row r="80" spans="1:12" ht="96" hidden="1" x14ac:dyDescent="0.35">
      <c r="A80" s="44">
        <v>77</v>
      </c>
      <c r="B80" s="44" t="s">
        <v>994</v>
      </c>
      <c r="C80" s="44" t="s">
        <v>1007</v>
      </c>
      <c r="D80" s="44" t="s">
        <v>1235</v>
      </c>
      <c r="E80" s="44" t="s">
        <v>1236</v>
      </c>
      <c r="F80" s="44" t="s">
        <v>1236</v>
      </c>
      <c r="G80" s="44" t="s">
        <v>1110</v>
      </c>
      <c r="H80" s="45" t="s">
        <v>1237</v>
      </c>
      <c r="I80" s="45" t="s">
        <v>1112</v>
      </c>
      <c r="J80" s="45" t="s">
        <v>277</v>
      </c>
      <c r="K80" s="45"/>
      <c r="L80" s="67" t="s">
        <v>1121</v>
      </c>
    </row>
    <row r="81" spans="1:12" ht="96" hidden="1" x14ac:dyDescent="0.35">
      <c r="A81" s="44">
        <v>78</v>
      </c>
      <c r="B81" s="44" t="s">
        <v>994</v>
      </c>
      <c r="C81" s="44" t="s">
        <v>1007</v>
      </c>
      <c r="D81" s="44" t="s">
        <v>1235</v>
      </c>
      <c r="E81" s="44" t="s">
        <v>1238</v>
      </c>
      <c r="F81" s="44" t="s">
        <v>1238</v>
      </c>
      <c r="G81" s="44" t="s">
        <v>1110</v>
      </c>
      <c r="H81" s="45" t="s">
        <v>1239</v>
      </c>
      <c r="I81" s="45" t="s">
        <v>1112</v>
      </c>
      <c r="J81" s="45" t="s">
        <v>277</v>
      </c>
      <c r="K81" s="45"/>
      <c r="L81" s="67" t="s">
        <v>1121</v>
      </c>
    </row>
    <row r="82" spans="1:12" ht="108" hidden="1" x14ac:dyDescent="0.35">
      <c r="A82" s="44">
        <v>79</v>
      </c>
      <c r="B82" s="44" t="s">
        <v>994</v>
      </c>
      <c r="C82" s="44" t="s">
        <v>1007</v>
      </c>
      <c r="D82" s="44" t="s">
        <v>1240</v>
      </c>
      <c r="E82" s="44" t="s">
        <v>1241</v>
      </c>
      <c r="F82" s="44" t="s">
        <v>1241</v>
      </c>
      <c r="G82" s="44" t="s">
        <v>1110</v>
      </c>
      <c r="H82" s="45" t="s">
        <v>1242</v>
      </c>
      <c r="I82" s="45" t="s">
        <v>1112</v>
      </c>
      <c r="J82" s="45" t="s">
        <v>277</v>
      </c>
      <c r="K82" s="45"/>
      <c r="L82" s="67" t="s">
        <v>1243</v>
      </c>
    </row>
    <row r="83" spans="1:12" ht="108" hidden="1" x14ac:dyDescent="0.35">
      <c r="A83" s="44">
        <v>80</v>
      </c>
      <c r="B83" s="44" t="s">
        <v>994</v>
      </c>
      <c r="C83" s="44" t="s">
        <v>1007</v>
      </c>
      <c r="D83" s="44" t="s">
        <v>1240</v>
      </c>
      <c r="E83" s="44" t="s">
        <v>1244</v>
      </c>
      <c r="F83" s="44" t="s">
        <v>1244</v>
      </c>
      <c r="G83" s="44" t="s">
        <v>1110</v>
      </c>
      <c r="H83" s="45" t="s">
        <v>1245</v>
      </c>
      <c r="I83" s="45" t="s">
        <v>1112</v>
      </c>
      <c r="J83" s="45" t="s">
        <v>277</v>
      </c>
      <c r="K83" s="45"/>
      <c r="L83" s="67" t="s">
        <v>1243</v>
      </c>
    </row>
    <row r="84" spans="1:12" ht="108" hidden="1" x14ac:dyDescent="0.35">
      <c r="A84" s="44">
        <v>81</v>
      </c>
      <c r="B84" s="44" t="s">
        <v>994</v>
      </c>
      <c r="C84" s="44" t="s">
        <v>1007</v>
      </c>
      <c r="D84" s="44" t="s">
        <v>1240</v>
      </c>
      <c r="E84" s="44" t="s">
        <v>1246</v>
      </c>
      <c r="F84" s="44" t="s">
        <v>1246</v>
      </c>
      <c r="G84" s="44" t="s">
        <v>1110</v>
      </c>
      <c r="H84" s="45" t="s">
        <v>998</v>
      </c>
      <c r="I84" s="45" t="s">
        <v>1112</v>
      </c>
      <c r="J84" s="45" t="s">
        <v>277</v>
      </c>
      <c r="K84" s="45"/>
      <c r="L84" s="67" t="s">
        <v>1243</v>
      </c>
    </row>
    <row r="85" spans="1:12" ht="108" hidden="1" x14ac:dyDescent="0.35">
      <c r="A85" s="44">
        <v>82</v>
      </c>
      <c r="B85" s="44" t="s">
        <v>994</v>
      </c>
      <c r="C85" s="44" t="s">
        <v>1007</v>
      </c>
      <c r="D85" s="44" t="s">
        <v>1240</v>
      </c>
      <c r="E85" s="44" t="s">
        <v>1247</v>
      </c>
      <c r="F85" s="44" t="s">
        <v>1247</v>
      </c>
      <c r="G85" s="44" t="s">
        <v>1110</v>
      </c>
      <c r="H85" s="45" t="s">
        <v>1003</v>
      </c>
      <c r="I85" s="45" t="s">
        <v>1112</v>
      </c>
      <c r="J85" s="45" t="s">
        <v>277</v>
      </c>
      <c r="K85" s="45"/>
      <c r="L85" s="67" t="s">
        <v>1243</v>
      </c>
    </row>
    <row r="86" spans="1:12" ht="108" hidden="1" x14ac:dyDescent="0.35">
      <c r="A86" s="44">
        <v>83</v>
      </c>
      <c r="B86" s="44" t="s">
        <v>994</v>
      </c>
      <c r="C86" s="44" t="s">
        <v>1007</v>
      </c>
      <c r="D86" s="44" t="s">
        <v>1240</v>
      </c>
      <c r="E86" s="44" t="s">
        <v>1248</v>
      </c>
      <c r="F86" s="44" t="s">
        <v>1248</v>
      </c>
      <c r="G86" s="44" t="s">
        <v>1110</v>
      </c>
      <c r="H86" s="45" t="s">
        <v>1005</v>
      </c>
      <c r="I86" s="45" t="s">
        <v>1112</v>
      </c>
      <c r="J86" s="45" t="s">
        <v>277</v>
      </c>
      <c r="K86" s="45"/>
      <c r="L86" s="67" t="s">
        <v>1243</v>
      </c>
    </row>
    <row r="87" spans="1:12" ht="108" hidden="1" x14ac:dyDescent="0.35">
      <c r="A87" s="44">
        <v>84</v>
      </c>
      <c r="B87" s="44" t="s">
        <v>994</v>
      </c>
      <c r="C87" s="44" t="s">
        <v>1007</v>
      </c>
      <c r="D87" s="44" t="s">
        <v>1240</v>
      </c>
      <c r="E87" s="44" t="s">
        <v>1249</v>
      </c>
      <c r="F87" s="44" t="s">
        <v>1249</v>
      </c>
      <c r="G87" s="44" t="s">
        <v>1110</v>
      </c>
      <c r="H87" s="45" t="s">
        <v>1011</v>
      </c>
      <c r="I87" s="45" t="s">
        <v>1112</v>
      </c>
      <c r="J87" s="45" t="s">
        <v>277</v>
      </c>
      <c r="K87" s="45"/>
      <c r="L87" s="67" t="s">
        <v>1243</v>
      </c>
    </row>
    <row r="88" spans="1:12" ht="108" hidden="1" x14ac:dyDescent="0.35">
      <c r="A88" s="44">
        <v>85</v>
      </c>
      <c r="B88" s="44" t="s">
        <v>994</v>
      </c>
      <c r="C88" s="44" t="s">
        <v>1007</v>
      </c>
      <c r="D88" s="44" t="s">
        <v>1240</v>
      </c>
      <c r="E88" s="44" t="s">
        <v>1250</v>
      </c>
      <c r="F88" s="44" t="s">
        <v>1250</v>
      </c>
      <c r="G88" s="44" t="s">
        <v>1110</v>
      </c>
      <c r="H88" s="45" t="s">
        <v>1015</v>
      </c>
      <c r="I88" s="45" t="s">
        <v>1112</v>
      </c>
      <c r="J88" s="45" t="s">
        <v>277</v>
      </c>
      <c r="K88" s="45"/>
      <c r="L88" s="67" t="s">
        <v>1243</v>
      </c>
    </row>
    <row r="89" spans="1:12" ht="108" hidden="1" x14ac:dyDescent="0.35">
      <c r="A89" s="44">
        <v>86</v>
      </c>
      <c r="B89" s="44" t="s">
        <v>994</v>
      </c>
      <c r="C89" s="44" t="s">
        <v>1007</v>
      </c>
      <c r="D89" s="44" t="s">
        <v>1240</v>
      </c>
      <c r="E89" s="44" t="s">
        <v>1251</v>
      </c>
      <c r="F89" s="44" t="s">
        <v>1251</v>
      </c>
      <c r="G89" s="44" t="s">
        <v>1110</v>
      </c>
      <c r="H89" s="45" t="s">
        <v>1019</v>
      </c>
      <c r="I89" s="45" t="s">
        <v>1112</v>
      </c>
      <c r="J89" s="45" t="s">
        <v>277</v>
      </c>
      <c r="K89" s="45"/>
      <c r="L89" s="67" t="s">
        <v>1243</v>
      </c>
    </row>
    <row r="90" spans="1:12" ht="108" hidden="1" x14ac:dyDescent="0.35">
      <c r="A90" s="44">
        <v>87</v>
      </c>
      <c r="B90" s="44" t="s">
        <v>994</v>
      </c>
      <c r="C90" s="44" t="s">
        <v>1007</v>
      </c>
      <c r="D90" s="44" t="s">
        <v>1240</v>
      </c>
      <c r="E90" s="44" t="s">
        <v>1252</v>
      </c>
      <c r="F90" s="44" t="s">
        <v>1252</v>
      </c>
      <c r="G90" s="44" t="s">
        <v>1110</v>
      </c>
      <c r="H90" s="45" t="s">
        <v>1022</v>
      </c>
      <c r="I90" s="45" t="s">
        <v>1112</v>
      </c>
      <c r="J90" s="45" t="s">
        <v>277</v>
      </c>
      <c r="K90" s="45"/>
      <c r="L90" s="67" t="s">
        <v>1243</v>
      </c>
    </row>
    <row r="91" spans="1:12" ht="108" hidden="1" x14ac:dyDescent="0.35">
      <c r="A91" s="44">
        <v>88</v>
      </c>
      <c r="B91" s="44" t="s">
        <v>994</v>
      </c>
      <c r="C91" s="44" t="s">
        <v>1007</v>
      </c>
      <c r="D91" s="44" t="s">
        <v>1240</v>
      </c>
      <c r="E91" s="44" t="s">
        <v>1253</v>
      </c>
      <c r="F91" s="44" t="s">
        <v>1253</v>
      </c>
      <c r="G91" s="44" t="s">
        <v>1110</v>
      </c>
      <c r="H91" s="45" t="s">
        <v>1025</v>
      </c>
      <c r="I91" s="45" t="s">
        <v>1112</v>
      </c>
      <c r="J91" s="45" t="s">
        <v>277</v>
      </c>
      <c r="K91" s="45"/>
      <c r="L91" s="67" t="s">
        <v>1243</v>
      </c>
    </row>
    <row r="92" spans="1:12" ht="108" hidden="1" x14ac:dyDescent="0.35">
      <c r="A92" s="44">
        <v>89</v>
      </c>
      <c r="B92" s="44" t="s">
        <v>994</v>
      </c>
      <c r="C92" s="44" t="s">
        <v>1007</v>
      </c>
      <c r="D92" s="44" t="s">
        <v>1240</v>
      </c>
      <c r="E92" s="44" t="s">
        <v>1254</v>
      </c>
      <c r="F92" s="44" t="s">
        <v>1254</v>
      </c>
      <c r="G92" s="44" t="s">
        <v>1110</v>
      </c>
      <c r="H92" s="45" t="s">
        <v>1028</v>
      </c>
      <c r="I92" s="45" t="s">
        <v>1112</v>
      </c>
      <c r="J92" s="45" t="s">
        <v>277</v>
      </c>
      <c r="K92" s="45"/>
      <c r="L92" s="67" t="s">
        <v>1243</v>
      </c>
    </row>
    <row r="93" spans="1:12" ht="108" hidden="1" x14ac:dyDescent="0.35">
      <c r="A93" s="44">
        <v>90</v>
      </c>
      <c r="B93" s="44" t="s">
        <v>994</v>
      </c>
      <c r="C93" s="44" t="s">
        <v>1007</v>
      </c>
      <c r="D93" s="44" t="s">
        <v>1240</v>
      </c>
      <c r="E93" s="44" t="s">
        <v>1255</v>
      </c>
      <c r="F93" s="44" t="s">
        <v>1255</v>
      </c>
      <c r="G93" s="44" t="s">
        <v>1110</v>
      </c>
      <c r="H93" s="45" t="s">
        <v>1032</v>
      </c>
      <c r="I93" s="45" t="s">
        <v>1112</v>
      </c>
      <c r="J93" s="45" t="s">
        <v>277</v>
      </c>
      <c r="K93" s="45"/>
      <c r="L93" s="67" t="s">
        <v>1243</v>
      </c>
    </row>
    <row r="94" spans="1:12" ht="132" hidden="1" x14ac:dyDescent="0.35">
      <c r="A94" s="44">
        <v>91</v>
      </c>
      <c r="B94" s="44" t="s">
        <v>1256</v>
      </c>
      <c r="C94" s="44" t="s">
        <v>1007</v>
      </c>
      <c r="D94" s="44" t="s">
        <v>1029</v>
      </c>
      <c r="E94" s="44" t="s">
        <v>1257</v>
      </c>
      <c r="F94" s="44" t="s">
        <v>1258</v>
      </c>
      <c r="G94" s="44" t="s">
        <v>997</v>
      </c>
      <c r="H94" s="45" t="s">
        <v>1036</v>
      </c>
      <c r="I94" s="45" t="s">
        <v>999</v>
      </c>
      <c r="J94" s="45" t="s">
        <v>277</v>
      </c>
      <c r="K94" s="45"/>
      <c r="L94" s="67" t="s">
        <v>1259</v>
      </c>
    </row>
    <row r="95" spans="1:12" ht="132" hidden="1" x14ac:dyDescent="0.35">
      <c r="A95" s="44">
        <v>92</v>
      </c>
      <c r="B95" s="44" t="s">
        <v>1256</v>
      </c>
      <c r="C95" s="44" t="s">
        <v>1007</v>
      </c>
      <c r="D95" s="44" t="s">
        <v>1029</v>
      </c>
      <c r="E95" s="44" t="s">
        <v>1260</v>
      </c>
      <c r="F95" s="44" t="s">
        <v>1261</v>
      </c>
      <c r="G95" s="44" t="s">
        <v>997</v>
      </c>
      <c r="H95" s="45" t="s">
        <v>1039</v>
      </c>
      <c r="I95" s="45" t="s">
        <v>999</v>
      </c>
      <c r="J95" s="45" t="s">
        <v>277</v>
      </c>
      <c r="K95" s="45"/>
      <c r="L95" s="67" t="s">
        <v>1259</v>
      </c>
    </row>
    <row r="96" spans="1:12" ht="132" hidden="1" x14ac:dyDescent="0.35">
      <c r="A96" s="44">
        <v>93</v>
      </c>
      <c r="B96" s="44" t="s">
        <v>1256</v>
      </c>
      <c r="C96" s="44" t="s">
        <v>1007</v>
      </c>
      <c r="D96" s="44" t="s">
        <v>1029</v>
      </c>
      <c r="E96" s="44" t="s">
        <v>1262</v>
      </c>
      <c r="F96" s="44" t="s">
        <v>1263</v>
      </c>
      <c r="G96" s="44" t="s">
        <v>997</v>
      </c>
      <c r="H96" s="45" t="s">
        <v>1042</v>
      </c>
      <c r="I96" s="45" t="s">
        <v>999</v>
      </c>
      <c r="J96" s="45" t="s">
        <v>277</v>
      </c>
      <c r="K96" s="45"/>
      <c r="L96" s="67" t="s">
        <v>1259</v>
      </c>
    </row>
    <row r="97" spans="1:12" ht="108" hidden="1" x14ac:dyDescent="0.35">
      <c r="A97" s="44">
        <v>94</v>
      </c>
      <c r="B97" s="44" t="s">
        <v>1256</v>
      </c>
      <c r="C97" s="44" t="s">
        <v>1007</v>
      </c>
      <c r="D97" s="44" t="s">
        <v>1264</v>
      </c>
      <c r="E97" s="44" t="s">
        <v>1265</v>
      </c>
      <c r="F97" s="44" t="s">
        <v>1266</v>
      </c>
      <c r="G97" s="44" t="s">
        <v>997</v>
      </c>
      <c r="H97" s="45" t="s">
        <v>1045</v>
      </c>
      <c r="I97" s="45" t="s">
        <v>999</v>
      </c>
      <c r="J97" s="45" t="s">
        <v>277</v>
      </c>
      <c r="K97" s="45"/>
      <c r="L97" s="67" t="s">
        <v>1267</v>
      </c>
    </row>
    <row r="98" spans="1:12" ht="108" hidden="1" x14ac:dyDescent="0.35">
      <c r="A98" s="44">
        <v>95</v>
      </c>
      <c r="B98" s="44" t="s">
        <v>1256</v>
      </c>
      <c r="C98" s="44" t="s">
        <v>1007</v>
      </c>
      <c r="D98" s="44" t="s">
        <v>1264</v>
      </c>
      <c r="E98" s="44" t="s">
        <v>1268</v>
      </c>
      <c r="F98" s="44" t="s">
        <v>1269</v>
      </c>
      <c r="G98" s="44" t="s">
        <v>997</v>
      </c>
      <c r="H98" s="45" t="s">
        <v>1048</v>
      </c>
      <c r="I98" s="45" t="s">
        <v>999</v>
      </c>
      <c r="J98" s="45" t="s">
        <v>277</v>
      </c>
      <c r="K98" s="45"/>
      <c r="L98" s="67" t="s">
        <v>1267</v>
      </c>
    </row>
    <row r="99" spans="1:12" ht="96" hidden="1" x14ac:dyDescent="0.35">
      <c r="A99" s="44">
        <v>96</v>
      </c>
      <c r="B99" s="44" t="s">
        <v>1256</v>
      </c>
      <c r="C99" s="44" t="s">
        <v>1007</v>
      </c>
      <c r="D99" s="44" t="s">
        <v>1270</v>
      </c>
      <c r="E99" s="44" t="s">
        <v>1271</v>
      </c>
      <c r="F99" s="44" t="s">
        <v>1272</v>
      </c>
      <c r="G99" s="44" t="s">
        <v>997</v>
      </c>
      <c r="H99" s="45" t="s">
        <v>1051</v>
      </c>
      <c r="I99" s="45" t="s">
        <v>999</v>
      </c>
      <c r="J99" s="45" t="s">
        <v>277</v>
      </c>
      <c r="K99" s="45"/>
      <c r="L99" s="67" t="s">
        <v>1273</v>
      </c>
    </row>
    <row r="100" spans="1:12" ht="96" hidden="1" x14ac:dyDescent="0.35">
      <c r="A100" s="44">
        <v>97</v>
      </c>
      <c r="B100" s="44" t="s">
        <v>1256</v>
      </c>
      <c r="C100" s="44" t="s">
        <v>1007</v>
      </c>
      <c r="D100" s="44" t="s">
        <v>1270</v>
      </c>
      <c r="E100" s="44" t="s">
        <v>1274</v>
      </c>
      <c r="F100" s="44" t="s">
        <v>1275</v>
      </c>
      <c r="G100" s="44" t="s">
        <v>997</v>
      </c>
      <c r="H100" s="45" t="s">
        <v>1054</v>
      </c>
      <c r="I100" s="45" t="s">
        <v>999</v>
      </c>
      <c r="J100" s="45" t="s">
        <v>277</v>
      </c>
      <c r="K100" s="45"/>
      <c r="L100" s="67" t="s">
        <v>1273</v>
      </c>
    </row>
    <row r="101" spans="1:12" ht="132" hidden="1" x14ac:dyDescent="0.35">
      <c r="A101" s="44">
        <v>98</v>
      </c>
      <c r="B101" s="44" t="s">
        <v>1256</v>
      </c>
      <c r="C101" s="44" t="s">
        <v>1007</v>
      </c>
      <c r="D101" s="44" t="s">
        <v>1029</v>
      </c>
      <c r="E101" s="44" t="s">
        <v>1276</v>
      </c>
      <c r="F101" s="44" t="s">
        <v>1277</v>
      </c>
      <c r="G101" s="44" t="s">
        <v>1110</v>
      </c>
      <c r="H101" s="45" t="s">
        <v>1057</v>
      </c>
      <c r="I101" s="45" t="s">
        <v>1112</v>
      </c>
      <c r="J101" s="45" t="s">
        <v>277</v>
      </c>
      <c r="K101" s="45"/>
      <c r="L101" s="67" t="s">
        <v>1278</v>
      </c>
    </row>
    <row r="102" spans="1:12" ht="132" hidden="1" x14ac:dyDescent="0.35">
      <c r="A102" s="44">
        <v>99</v>
      </c>
      <c r="B102" s="44" t="s">
        <v>1256</v>
      </c>
      <c r="C102" s="44" t="s">
        <v>1007</v>
      </c>
      <c r="D102" s="44" t="s">
        <v>1029</v>
      </c>
      <c r="E102" s="44" t="s">
        <v>1279</v>
      </c>
      <c r="F102" s="44" t="s">
        <v>1280</v>
      </c>
      <c r="G102" s="44" t="s">
        <v>1110</v>
      </c>
      <c r="H102" s="45" t="s">
        <v>1061</v>
      </c>
      <c r="I102" s="45" t="s">
        <v>1112</v>
      </c>
      <c r="J102" s="45" t="s">
        <v>277</v>
      </c>
      <c r="K102" s="45"/>
      <c r="L102" s="67" t="s">
        <v>1278</v>
      </c>
    </row>
    <row r="103" spans="1:12" ht="132" hidden="1" x14ac:dyDescent="0.35">
      <c r="A103" s="44">
        <v>100</v>
      </c>
      <c r="B103" s="44" t="s">
        <v>1256</v>
      </c>
      <c r="C103" s="44" t="s">
        <v>1007</v>
      </c>
      <c r="D103" s="44" t="s">
        <v>1029</v>
      </c>
      <c r="E103" s="44" t="s">
        <v>1281</v>
      </c>
      <c r="F103" s="44" t="s">
        <v>1282</v>
      </c>
      <c r="G103" s="44" t="s">
        <v>1110</v>
      </c>
      <c r="H103" s="45" t="s">
        <v>1065</v>
      </c>
      <c r="I103" s="45" t="s">
        <v>1112</v>
      </c>
      <c r="J103" s="45" t="s">
        <v>277</v>
      </c>
      <c r="K103" s="45"/>
      <c r="L103" s="67" t="s">
        <v>1278</v>
      </c>
    </row>
    <row r="104" spans="1:12" ht="132" hidden="1" x14ac:dyDescent="0.35">
      <c r="A104" s="44">
        <v>101</v>
      </c>
      <c r="B104" s="44" t="s">
        <v>1256</v>
      </c>
      <c r="C104" s="44" t="s">
        <v>1007</v>
      </c>
      <c r="D104" s="44" t="s">
        <v>1029</v>
      </c>
      <c r="E104" s="44" t="s">
        <v>1283</v>
      </c>
      <c r="F104" s="44" t="s">
        <v>1284</v>
      </c>
      <c r="G104" s="44" t="s">
        <v>1110</v>
      </c>
      <c r="H104" s="45" t="s">
        <v>1069</v>
      </c>
      <c r="I104" s="45" t="s">
        <v>1112</v>
      </c>
      <c r="J104" s="45" t="s">
        <v>277</v>
      </c>
      <c r="K104" s="45"/>
      <c r="L104" s="67" t="s">
        <v>1278</v>
      </c>
    </row>
    <row r="105" spans="1:12" ht="132" hidden="1" x14ac:dyDescent="0.35">
      <c r="A105" s="44">
        <v>102</v>
      </c>
      <c r="B105" s="44" t="s">
        <v>1256</v>
      </c>
      <c r="C105" s="44" t="s">
        <v>1007</v>
      </c>
      <c r="D105" s="44" t="s">
        <v>1029</v>
      </c>
      <c r="E105" s="44" t="s">
        <v>1285</v>
      </c>
      <c r="F105" s="44" t="s">
        <v>1286</v>
      </c>
      <c r="G105" s="44" t="s">
        <v>1110</v>
      </c>
      <c r="H105" s="45" t="s">
        <v>1072</v>
      </c>
      <c r="I105" s="45" t="s">
        <v>1112</v>
      </c>
      <c r="J105" s="45" t="s">
        <v>277</v>
      </c>
      <c r="K105" s="45"/>
      <c r="L105" s="67" t="s">
        <v>1278</v>
      </c>
    </row>
    <row r="106" spans="1:12" ht="132" hidden="1" x14ac:dyDescent="0.35">
      <c r="A106" s="44">
        <v>103</v>
      </c>
      <c r="B106" s="44" t="s">
        <v>1256</v>
      </c>
      <c r="C106" s="44" t="s">
        <v>1007</v>
      </c>
      <c r="D106" s="44" t="s">
        <v>1029</v>
      </c>
      <c r="E106" s="44" t="s">
        <v>1287</v>
      </c>
      <c r="F106" s="44" t="s">
        <v>1288</v>
      </c>
      <c r="G106" s="44" t="s">
        <v>1110</v>
      </c>
      <c r="H106" s="45" t="s">
        <v>1075</v>
      </c>
      <c r="I106" s="45" t="s">
        <v>1112</v>
      </c>
      <c r="J106" s="45" t="s">
        <v>277</v>
      </c>
      <c r="K106" s="45"/>
      <c r="L106" s="67" t="s">
        <v>1278</v>
      </c>
    </row>
    <row r="107" spans="1:12" ht="108" hidden="1" x14ac:dyDescent="0.35">
      <c r="A107" s="44">
        <v>104</v>
      </c>
      <c r="B107" s="44" t="s">
        <v>1256</v>
      </c>
      <c r="C107" s="44" t="s">
        <v>1007</v>
      </c>
      <c r="D107" s="44" t="s">
        <v>1264</v>
      </c>
      <c r="E107" s="44" t="s">
        <v>1289</v>
      </c>
      <c r="F107" s="44" t="s">
        <v>1290</v>
      </c>
      <c r="G107" s="44" t="s">
        <v>1110</v>
      </c>
      <c r="H107" s="45" t="s">
        <v>1078</v>
      </c>
      <c r="I107" s="45" t="s">
        <v>1112</v>
      </c>
      <c r="J107" s="45" t="s">
        <v>277</v>
      </c>
      <c r="K107" s="45"/>
      <c r="L107" s="67" t="s">
        <v>1291</v>
      </c>
    </row>
    <row r="108" spans="1:12" ht="108" hidden="1" x14ac:dyDescent="0.35">
      <c r="A108" s="44">
        <v>105</v>
      </c>
      <c r="B108" s="44" t="s">
        <v>1256</v>
      </c>
      <c r="C108" s="44" t="s">
        <v>1007</v>
      </c>
      <c r="D108" s="44" t="s">
        <v>1264</v>
      </c>
      <c r="E108" s="44" t="s">
        <v>1292</v>
      </c>
      <c r="F108" s="44" t="s">
        <v>1293</v>
      </c>
      <c r="G108" s="44" t="s">
        <v>1110</v>
      </c>
      <c r="H108" s="45" t="s">
        <v>1081</v>
      </c>
      <c r="I108" s="45" t="s">
        <v>1112</v>
      </c>
      <c r="J108" s="45" t="s">
        <v>277</v>
      </c>
      <c r="K108" s="45"/>
      <c r="L108" s="67" t="s">
        <v>1291</v>
      </c>
    </row>
    <row r="109" spans="1:12" ht="108" hidden="1" x14ac:dyDescent="0.35">
      <c r="A109" s="44">
        <v>106</v>
      </c>
      <c r="B109" s="44" t="s">
        <v>1256</v>
      </c>
      <c r="C109" s="44" t="s">
        <v>1007</v>
      </c>
      <c r="D109" s="44" t="s">
        <v>1264</v>
      </c>
      <c r="E109" s="44" t="s">
        <v>1294</v>
      </c>
      <c r="F109" s="44" t="s">
        <v>1295</v>
      </c>
      <c r="G109" s="44" t="s">
        <v>1110</v>
      </c>
      <c r="H109" s="45" t="s">
        <v>1085</v>
      </c>
      <c r="I109" s="45" t="s">
        <v>1112</v>
      </c>
      <c r="J109" s="45" t="s">
        <v>277</v>
      </c>
      <c r="K109" s="45"/>
      <c r="L109" s="67" t="s">
        <v>1291</v>
      </c>
    </row>
    <row r="110" spans="1:12" ht="108" hidden="1" x14ac:dyDescent="0.35">
      <c r="A110" s="44">
        <v>107</v>
      </c>
      <c r="B110" s="44" t="s">
        <v>1256</v>
      </c>
      <c r="C110" s="44" t="s">
        <v>1007</v>
      </c>
      <c r="D110" s="44" t="s">
        <v>1264</v>
      </c>
      <c r="E110" s="44" t="s">
        <v>1296</v>
      </c>
      <c r="F110" s="44" t="s">
        <v>1297</v>
      </c>
      <c r="G110" s="44" t="s">
        <v>1110</v>
      </c>
      <c r="H110" s="45" t="s">
        <v>1085</v>
      </c>
      <c r="I110" s="45" t="s">
        <v>1112</v>
      </c>
      <c r="J110" s="45" t="s">
        <v>277</v>
      </c>
      <c r="K110" s="45"/>
      <c r="L110" s="67" t="s">
        <v>1291</v>
      </c>
    </row>
    <row r="111" spans="1:12" ht="96" hidden="1" x14ac:dyDescent="0.35">
      <c r="A111" s="44">
        <v>108</v>
      </c>
      <c r="B111" s="44" t="s">
        <v>1256</v>
      </c>
      <c r="C111" s="44" t="s">
        <v>1007</v>
      </c>
      <c r="D111" s="44" t="s">
        <v>1298</v>
      </c>
      <c r="E111" s="44" t="s">
        <v>1271</v>
      </c>
      <c r="F111" s="44" t="s">
        <v>1272</v>
      </c>
      <c r="G111" s="44" t="s">
        <v>1110</v>
      </c>
      <c r="H111" s="45" t="s">
        <v>1085</v>
      </c>
      <c r="I111" s="45" t="s">
        <v>1112</v>
      </c>
      <c r="J111" s="45" t="s">
        <v>277</v>
      </c>
      <c r="K111" s="45"/>
      <c r="L111" s="67" t="s">
        <v>1299</v>
      </c>
    </row>
    <row r="112" spans="1:12" ht="96" hidden="1" x14ac:dyDescent="0.35">
      <c r="A112" s="44">
        <v>109</v>
      </c>
      <c r="B112" s="44" t="s">
        <v>1256</v>
      </c>
      <c r="C112" s="44" t="s">
        <v>1007</v>
      </c>
      <c r="D112" s="44" t="s">
        <v>1298</v>
      </c>
      <c r="E112" s="44" t="s">
        <v>1274</v>
      </c>
      <c r="F112" s="44" t="s">
        <v>1275</v>
      </c>
      <c r="G112" s="44" t="s">
        <v>1110</v>
      </c>
      <c r="H112" s="45" t="s">
        <v>1085</v>
      </c>
      <c r="I112" s="45" t="s">
        <v>1112</v>
      </c>
      <c r="J112" s="45" t="s">
        <v>277</v>
      </c>
      <c r="K112" s="45"/>
      <c r="L112" s="67" t="s">
        <v>1299</v>
      </c>
    </row>
    <row r="113" spans="1:12" ht="48.75" customHeight="1" x14ac:dyDescent="0.35">
      <c r="A113" s="44">
        <v>110</v>
      </c>
      <c r="B113" s="44" t="s">
        <v>1300</v>
      </c>
      <c r="C113" s="44" t="s">
        <v>1301</v>
      </c>
      <c r="D113" s="44" t="s">
        <v>1302</v>
      </c>
      <c r="E113" s="44" t="s">
        <v>1303</v>
      </c>
      <c r="F113" s="44" t="s">
        <v>1304</v>
      </c>
      <c r="G113" s="44" t="s">
        <v>1110</v>
      </c>
      <c r="H113" s="45" t="s">
        <v>1085</v>
      </c>
      <c r="I113" s="45" t="s">
        <v>1112</v>
      </c>
      <c r="J113" s="45" t="s">
        <v>277</v>
      </c>
      <c r="K113" s="45"/>
      <c r="L113" s="67" t="s">
        <v>1305</v>
      </c>
    </row>
    <row r="114" spans="1:12" ht="62.25" customHeight="1" x14ac:dyDescent="0.35">
      <c r="A114" s="44">
        <v>111</v>
      </c>
      <c r="B114" s="44" t="s">
        <v>1300</v>
      </c>
      <c r="C114" s="44" t="s">
        <v>1301</v>
      </c>
      <c r="D114" s="44" t="s">
        <v>1302</v>
      </c>
      <c r="E114" s="44" t="s">
        <v>1306</v>
      </c>
      <c r="F114" s="44" t="s">
        <v>1307</v>
      </c>
      <c r="G114" s="44" t="s">
        <v>1110</v>
      </c>
      <c r="H114" s="45" t="s">
        <v>1085</v>
      </c>
      <c r="I114" s="45" t="s">
        <v>1112</v>
      </c>
      <c r="J114" s="45" t="s">
        <v>277</v>
      </c>
      <c r="K114" s="45"/>
      <c r="L114" s="67" t="s">
        <v>1305</v>
      </c>
    </row>
    <row r="115" spans="1:12" ht="54.75" customHeight="1" x14ac:dyDescent="0.35">
      <c r="A115" s="44">
        <v>112</v>
      </c>
      <c r="B115" s="44" t="s">
        <v>1300</v>
      </c>
      <c r="C115" s="44" t="s">
        <v>1301</v>
      </c>
      <c r="D115" s="44" t="s">
        <v>1302</v>
      </c>
      <c r="E115" s="44" t="s">
        <v>1308</v>
      </c>
      <c r="F115" s="44" t="s">
        <v>1309</v>
      </c>
      <c r="G115" s="44" t="s">
        <v>1110</v>
      </c>
      <c r="H115" s="45" t="s">
        <v>1085</v>
      </c>
      <c r="I115" s="45" t="s">
        <v>1112</v>
      </c>
      <c r="J115" s="45" t="s">
        <v>277</v>
      </c>
      <c r="K115" s="45"/>
      <c r="L115" s="67" t="s">
        <v>1305</v>
      </c>
    </row>
    <row r="116" spans="1:12" ht="68.25" customHeight="1" x14ac:dyDescent="0.35">
      <c r="A116" s="44">
        <v>113</v>
      </c>
      <c r="B116" s="44" t="s">
        <v>1300</v>
      </c>
      <c r="C116" s="44" t="s">
        <v>1301</v>
      </c>
      <c r="D116" s="44" t="s">
        <v>1302</v>
      </c>
      <c r="E116" s="44" t="s">
        <v>1310</v>
      </c>
      <c r="F116" s="44" t="s">
        <v>1311</v>
      </c>
      <c r="G116" s="44" t="s">
        <v>1110</v>
      </c>
      <c r="H116" s="45" t="s">
        <v>1085</v>
      </c>
      <c r="I116" s="45" t="s">
        <v>1112</v>
      </c>
      <c r="J116" s="45" t="s">
        <v>277</v>
      </c>
      <c r="K116" s="45"/>
      <c r="L116" s="67" t="s">
        <v>1305</v>
      </c>
    </row>
    <row r="117" spans="1:12" ht="56.25" customHeight="1" x14ac:dyDescent="0.35">
      <c r="A117" s="44">
        <v>114</v>
      </c>
      <c r="B117" s="44" t="s">
        <v>1300</v>
      </c>
      <c r="C117" s="44" t="s">
        <v>1301</v>
      </c>
      <c r="D117" s="44" t="s">
        <v>1302</v>
      </c>
      <c r="E117" s="44" t="s">
        <v>1312</v>
      </c>
      <c r="F117" s="44" t="s">
        <v>1313</v>
      </c>
      <c r="G117" s="44" t="s">
        <v>1110</v>
      </c>
      <c r="H117" s="45" t="s">
        <v>1085</v>
      </c>
      <c r="I117" s="45" t="s">
        <v>1112</v>
      </c>
      <c r="J117" s="45" t="s">
        <v>277</v>
      </c>
      <c r="K117" s="45"/>
      <c r="L117" s="67" t="s">
        <v>1305</v>
      </c>
    </row>
    <row r="118" spans="1:12" ht="96" x14ac:dyDescent="0.35">
      <c r="A118" s="44">
        <v>115</v>
      </c>
      <c r="B118" s="44" t="s">
        <v>1300</v>
      </c>
      <c r="C118" s="44" t="s">
        <v>1301</v>
      </c>
      <c r="D118" s="44" t="s">
        <v>1302</v>
      </c>
      <c r="E118" s="44" t="s">
        <v>1314</v>
      </c>
      <c r="F118" s="44" t="s">
        <v>1315</v>
      </c>
      <c r="G118" s="44" t="s">
        <v>1110</v>
      </c>
      <c r="H118" s="45" t="s">
        <v>1085</v>
      </c>
      <c r="I118" s="45" t="s">
        <v>1112</v>
      </c>
      <c r="J118" s="45" t="s">
        <v>277</v>
      </c>
      <c r="K118" s="45"/>
      <c r="L118" s="67" t="s">
        <v>1305</v>
      </c>
    </row>
    <row r="119" spans="1:12" ht="96" x14ac:dyDescent="0.35">
      <c r="A119" s="44">
        <v>116</v>
      </c>
      <c r="B119" s="44" t="s">
        <v>1300</v>
      </c>
      <c r="C119" s="44" t="s">
        <v>1301</v>
      </c>
      <c r="D119" s="44" t="s">
        <v>1302</v>
      </c>
      <c r="E119" s="44" t="s">
        <v>1316</v>
      </c>
      <c r="F119" s="44" t="s">
        <v>1317</v>
      </c>
      <c r="G119" s="44" t="s">
        <v>1110</v>
      </c>
      <c r="H119" s="45" t="s">
        <v>1085</v>
      </c>
      <c r="I119" s="45" t="s">
        <v>1112</v>
      </c>
      <c r="J119" s="45" t="s">
        <v>277</v>
      </c>
      <c r="K119" s="45"/>
      <c r="L119" s="67" t="s">
        <v>1305</v>
      </c>
    </row>
    <row r="120" spans="1:12" ht="96" x14ac:dyDescent="0.35">
      <c r="A120" s="44">
        <v>117</v>
      </c>
      <c r="B120" s="44" t="s">
        <v>1300</v>
      </c>
      <c r="C120" s="44" t="s">
        <v>1301</v>
      </c>
      <c r="D120" s="44" t="s">
        <v>1302</v>
      </c>
      <c r="E120" s="44" t="s">
        <v>1318</v>
      </c>
      <c r="F120" s="44" t="s">
        <v>1319</v>
      </c>
      <c r="G120" s="44" t="s">
        <v>1110</v>
      </c>
      <c r="H120" s="45" t="s">
        <v>1085</v>
      </c>
      <c r="I120" s="45" t="s">
        <v>1112</v>
      </c>
      <c r="J120" s="45" t="s">
        <v>277</v>
      </c>
      <c r="K120" s="45"/>
      <c r="L120" s="67" t="s">
        <v>1305</v>
      </c>
    </row>
    <row r="121" spans="1:12" ht="96" x14ac:dyDescent="0.35">
      <c r="A121" s="44">
        <v>118</v>
      </c>
      <c r="B121" s="44" t="s">
        <v>1300</v>
      </c>
      <c r="C121" s="44" t="s">
        <v>1301</v>
      </c>
      <c r="D121" s="44" t="s">
        <v>1302</v>
      </c>
      <c r="E121" s="44" t="s">
        <v>1320</v>
      </c>
      <c r="F121" s="44" t="s">
        <v>1321</v>
      </c>
      <c r="G121" s="44" t="s">
        <v>1110</v>
      </c>
      <c r="H121" s="45" t="s">
        <v>1085</v>
      </c>
      <c r="I121" s="45" t="s">
        <v>1112</v>
      </c>
      <c r="J121" s="45" t="s">
        <v>277</v>
      </c>
      <c r="K121" s="45"/>
      <c r="L121" s="67" t="s">
        <v>1305</v>
      </c>
    </row>
    <row r="122" spans="1:12" ht="96" x14ac:dyDescent="0.35">
      <c r="A122" s="44">
        <v>119</v>
      </c>
      <c r="B122" s="44" t="s">
        <v>1300</v>
      </c>
      <c r="C122" s="44" t="s">
        <v>1301</v>
      </c>
      <c r="D122" s="44" t="s">
        <v>1302</v>
      </c>
      <c r="E122" s="44" t="s">
        <v>1322</v>
      </c>
      <c r="F122" s="44" t="s">
        <v>1323</v>
      </c>
      <c r="G122" s="44" t="s">
        <v>1110</v>
      </c>
      <c r="H122" s="45" t="s">
        <v>1085</v>
      </c>
      <c r="I122" s="45" t="s">
        <v>1112</v>
      </c>
      <c r="J122" s="45" t="s">
        <v>277</v>
      </c>
      <c r="K122" s="45"/>
      <c r="L122" s="67" t="s">
        <v>1305</v>
      </c>
    </row>
    <row r="123" spans="1:12" ht="96" x14ac:dyDescent="0.35">
      <c r="A123" s="44">
        <v>120</v>
      </c>
      <c r="B123" s="44" t="s">
        <v>1300</v>
      </c>
      <c r="C123" s="44" t="s">
        <v>1301</v>
      </c>
      <c r="D123" s="44" t="s">
        <v>1324</v>
      </c>
      <c r="E123" s="44" t="s">
        <v>1325</v>
      </c>
      <c r="F123" s="44" t="s">
        <v>1326</v>
      </c>
      <c r="G123" s="44" t="s">
        <v>1110</v>
      </c>
      <c r="H123" s="45" t="s">
        <v>1085</v>
      </c>
      <c r="I123" s="45" t="s">
        <v>1112</v>
      </c>
      <c r="J123" s="45" t="s">
        <v>277</v>
      </c>
      <c r="K123" s="45"/>
      <c r="L123" s="67" t="s">
        <v>1305</v>
      </c>
    </row>
    <row r="124" spans="1:12" ht="96" x14ac:dyDescent="0.35">
      <c r="A124" s="44">
        <v>121</v>
      </c>
      <c r="B124" s="44" t="s">
        <v>1300</v>
      </c>
      <c r="C124" s="44" t="s">
        <v>1301</v>
      </c>
      <c r="D124" s="44" t="s">
        <v>1327</v>
      </c>
      <c r="E124" s="44" t="s">
        <v>1325</v>
      </c>
      <c r="F124" s="44" t="s">
        <v>1328</v>
      </c>
      <c r="G124" s="44" t="s">
        <v>1110</v>
      </c>
      <c r="H124" s="45" t="s">
        <v>1085</v>
      </c>
      <c r="I124" s="45" t="s">
        <v>1112</v>
      </c>
      <c r="J124" s="45" t="s">
        <v>277</v>
      </c>
      <c r="K124" s="45"/>
      <c r="L124" s="67" t="s">
        <v>1305</v>
      </c>
    </row>
    <row r="125" spans="1:12" ht="96" x14ac:dyDescent="0.35">
      <c r="A125" s="44">
        <v>122</v>
      </c>
      <c r="B125" s="44" t="s">
        <v>1300</v>
      </c>
      <c r="C125" s="44" t="s">
        <v>179</v>
      </c>
      <c r="D125" s="44" t="s">
        <v>1329</v>
      </c>
      <c r="E125" s="44" t="s">
        <v>1330</v>
      </c>
      <c r="F125" s="44" t="s">
        <v>1331</v>
      </c>
      <c r="G125" s="44" t="s">
        <v>1110</v>
      </c>
      <c r="H125" s="45" t="s">
        <v>1085</v>
      </c>
      <c r="I125" s="45" t="s">
        <v>1112</v>
      </c>
      <c r="J125" s="45" t="s">
        <v>277</v>
      </c>
      <c r="K125" s="45"/>
      <c r="L125" s="67" t="s">
        <v>1332</v>
      </c>
    </row>
    <row r="126" spans="1:12" ht="96" x14ac:dyDescent="0.35">
      <c r="A126" s="44">
        <v>123</v>
      </c>
      <c r="B126" s="44" t="s">
        <v>1300</v>
      </c>
      <c r="C126" s="44" t="s">
        <v>179</v>
      </c>
      <c r="D126" s="44" t="s">
        <v>1329</v>
      </c>
      <c r="E126" s="44" t="s">
        <v>1333</v>
      </c>
      <c r="F126" s="44" t="s">
        <v>1334</v>
      </c>
      <c r="G126" s="44" t="s">
        <v>1110</v>
      </c>
      <c r="H126" s="45" t="s">
        <v>1085</v>
      </c>
      <c r="I126" s="45" t="s">
        <v>1112</v>
      </c>
      <c r="J126" s="45" t="s">
        <v>277</v>
      </c>
      <c r="K126" s="45"/>
      <c r="L126" s="67" t="s">
        <v>1332</v>
      </c>
    </row>
    <row r="127" spans="1:12" ht="96" x14ac:dyDescent="0.35">
      <c r="A127" s="44">
        <v>124</v>
      </c>
      <c r="B127" s="44" t="s">
        <v>1300</v>
      </c>
      <c r="C127" s="44" t="s">
        <v>179</v>
      </c>
      <c r="D127" s="44" t="s">
        <v>1329</v>
      </c>
      <c r="E127" s="44" t="s">
        <v>1335</v>
      </c>
      <c r="F127" s="44" t="s">
        <v>1336</v>
      </c>
      <c r="G127" s="44" t="s">
        <v>1110</v>
      </c>
      <c r="H127" s="45" t="s">
        <v>1085</v>
      </c>
      <c r="I127" s="45" t="s">
        <v>1112</v>
      </c>
      <c r="J127" s="45" t="s">
        <v>277</v>
      </c>
      <c r="K127" s="45"/>
      <c r="L127" s="67" t="s">
        <v>1332</v>
      </c>
    </row>
    <row r="128" spans="1:12" ht="96" x14ac:dyDescent="0.35">
      <c r="A128" s="44">
        <v>125</v>
      </c>
      <c r="B128" s="44" t="s">
        <v>1300</v>
      </c>
      <c r="C128" s="44" t="s">
        <v>179</v>
      </c>
      <c r="D128" s="44" t="s">
        <v>1329</v>
      </c>
      <c r="E128" s="44" t="s">
        <v>1337</v>
      </c>
      <c r="F128" s="44" t="s">
        <v>1338</v>
      </c>
      <c r="G128" s="44" t="s">
        <v>1110</v>
      </c>
      <c r="H128" s="45" t="s">
        <v>1085</v>
      </c>
      <c r="I128" s="45" t="s">
        <v>1112</v>
      </c>
      <c r="J128" s="45" t="s">
        <v>277</v>
      </c>
      <c r="K128" s="45"/>
      <c r="L128" s="67" t="s">
        <v>1332</v>
      </c>
    </row>
    <row r="129" spans="1:12" ht="96" x14ac:dyDescent="0.35">
      <c r="A129" s="44">
        <v>126</v>
      </c>
      <c r="B129" s="44" t="s">
        <v>1300</v>
      </c>
      <c r="C129" s="44" t="s">
        <v>1007</v>
      </c>
      <c r="D129" s="44" t="s">
        <v>1008</v>
      </c>
      <c r="E129" s="44" t="s">
        <v>1339</v>
      </c>
      <c r="F129" s="44" t="s">
        <v>1340</v>
      </c>
      <c r="G129" s="44" t="s">
        <v>1110</v>
      </c>
      <c r="H129" s="45" t="s">
        <v>1085</v>
      </c>
      <c r="I129" s="45" t="s">
        <v>1112</v>
      </c>
      <c r="J129" s="45" t="s">
        <v>277</v>
      </c>
      <c r="K129" s="45"/>
      <c r="L129" s="67" t="s">
        <v>1341</v>
      </c>
    </row>
    <row r="130" spans="1:12" ht="96" x14ac:dyDescent="0.35">
      <c r="A130" s="44">
        <v>127</v>
      </c>
      <c r="B130" s="44" t="s">
        <v>1300</v>
      </c>
      <c r="C130" s="44" t="s">
        <v>1007</v>
      </c>
      <c r="D130" s="44" t="s">
        <v>1008</v>
      </c>
      <c r="E130" s="44" t="s">
        <v>1342</v>
      </c>
      <c r="F130" s="44" t="s">
        <v>1343</v>
      </c>
      <c r="G130" s="44" t="s">
        <v>1110</v>
      </c>
      <c r="H130" s="45" t="s">
        <v>1085</v>
      </c>
      <c r="I130" s="45" t="s">
        <v>1112</v>
      </c>
      <c r="J130" s="45" t="s">
        <v>277</v>
      </c>
      <c r="K130" s="45"/>
      <c r="L130" s="67" t="s">
        <v>1341</v>
      </c>
    </row>
    <row r="131" spans="1:12" ht="96" x14ac:dyDescent="0.35">
      <c r="A131" s="44">
        <v>128</v>
      </c>
      <c r="B131" s="44" t="s">
        <v>1300</v>
      </c>
      <c r="C131" s="44" t="s">
        <v>1007</v>
      </c>
      <c r="D131" s="44" t="s">
        <v>1016</v>
      </c>
      <c r="E131" s="44" t="s">
        <v>1344</v>
      </c>
      <c r="F131" s="44" t="s">
        <v>1345</v>
      </c>
      <c r="G131" s="44" t="s">
        <v>1110</v>
      </c>
      <c r="H131" s="45" t="s">
        <v>1085</v>
      </c>
      <c r="I131" s="45" t="s">
        <v>1112</v>
      </c>
      <c r="J131" s="45" t="s">
        <v>277</v>
      </c>
      <c r="K131" s="45"/>
      <c r="L131" s="67" t="s">
        <v>1341</v>
      </c>
    </row>
    <row r="132" spans="1:12" ht="96" x14ac:dyDescent="0.35">
      <c r="A132" s="44">
        <v>129</v>
      </c>
      <c r="B132" s="44" t="s">
        <v>1300</v>
      </c>
      <c r="C132" s="44" t="s">
        <v>1007</v>
      </c>
      <c r="D132" s="44" t="s">
        <v>1016</v>
      </c>
      <c r="E132" s="44" t="s">
        <v>1346</v>
      </c>
      <c r="F132" s="44" t="s">
        <v>1347</v>
      </c>
      <c r="G132" s="44" t="s">
        <v>1110</v>
      </c>
      <c r="H132" s="45" t="s">
        <v>1085</v>
      </c>
      <c r="I132" s="45" t="s">
        <v>1112</v>
      </c>
      <c r="J132" s="45" t="s">
        <v>277</v>
      </c>
      <c r="K132" s="45"/>
      <c r="L132" s="67" t="s">
        <v>1341</v>
      </c>
    </row>
    <row r="133" spans="1:12" ht="96" x14ac:dyDescent="0.35">
      <c r="A133" s="44">
        <v>130</v>
      </c>
      <c r="B133" s="44" t="s">
        <v>1300</v>
      </c>
      <c r="C133" s="44" t="s">
        <v>1007</v>
      </c>
      <c r="D133" s="44" t="s">
        <v>1016</v>
      </c>
      <c r="E133" s="44" t="s">
        <v>1348</v>
      </c>
      <c r="F133" s="44" t="s">
        <v>1349</v>
      </c>
      <c r="G133" s="44" t="s">
        <v>1110</v>
      </c>
      <c r="H133" s="45" t="s">
        <v>1085</v>
      </c>
      <c r="I133" s="45" t="s">
        <v>1112</v>
      </c>
      <c r="J133" s="45" t="s">
        <v>277</v>
      </c>
      <c r="K133" s="45"/>
      <c r="L133" s="67" t="s">
        <v>1341</v>
      </c>
    </row>
    <row r="134" spans="1:12" ht="96" x14ac:dyDescent="0.35">
      <c r="A134" s="44">
        <v>131</v>
      </c>
      <c r="B134" s="44" t="s">
        <v>1300</v>
      </c>
      <c r="C134" s="44" t="s">
        <v>1007</v>
      </c>
      <c r="D134" s="44" t="s">
        <v>1016</v>
      </c>
      <c r="E134" s="44" t="s">
        <v>1350</v>
      </c>
      <c r="F134" s="44" t="s">
        <v>1347</v>
      </c>
      <c r="G134" s="44" t="s">
        <v>1110</v>
      </c>
      <c r="H134" s="45" t="s">
        <v>1085</v>
      </c>
      <c r="I134" s="45" t="s">
        <v>1112</v>
      </c>
      <c r="J134" s="45" t="s">
        <v>277</v>
      </c>
      <c r="K134" s="45"/>
      <c r="L134" s="67" t="s">
        <v>1341</v>
      </c>
    </row>
    <row r="135" spans="1:12" ht="132" x14ac:dyDescent="0.35">
      <c r="A135" s="44">
        <v>132</v>
      </c>
      <c r="B135" s="44" t="s">
        <v>1300</v>
      </c>
      <c r="C135" s="44" t="s">
        <v>1007</v>
      </c>
      <c r="D135" s="44" t="s">
        <v>1029</v>
      </c>
      <c r="E135" s="44" t="s">
        <v>1351</v>
      </c>
      <c r="F135" s="44" t="s">
        <v>1352</v>
      </c>
      <c r="G135" s="44" t="s">
        <v>1110</v>
      </c>
      <c r="H135" s="45" t="s">
        <v>1085</v>
      </c>
      <c r="I135" s="45" t="s">
        <v>1112</v>
      </c>
      <c r="J135" s="45" t="s">
        <v>277</v>
      </c>
      <c r="K135" s="45"/>
      <c r="L135" s="67" t="s">
        <v>1353</v>
      </c>
    </row>
    <row r="136" spans="1:12" ht="132" x14ac:dyDescent="0.35">
      <c r="A136" s="44">
        <v>133</v>
      </c>
      <c r="B136" s="44" t="s">
        <v>1300</v>
      </c>
      <c r="C136" s="44" t="s">
        <v>1007</v>
      </c>
      <c r="D136" s="44" t="s">
        <v>1029</v>
      </c>
      <c r="E136" s="44" t="s">
        <v>1354</v>
      </c>
      <c r="F136" s="44" t="s">
        <v>1355</v>
      </c>
      <c r="G136" s="44" t="s">
        <v>1110</v>
      </c>
      <c r="H136" s="45" t="s">
        <v>1085</v>
      </c>
      <c r="I136" s="45" t="s">
        <v>1112</v>
      </c>
      <c r="J136" s="45" t="s">
        <v>277</v>
      </c>
      <c r="K136" s="45"/>
      <c r="L136" s="67" t="s">
        <v>1353</v>
      </c>
    </row>
    <row r="137" spans="1:12" ht="132" x14ac:dyDescent="0.35">
      <c r="A137" s="44">
        <v>134</v>
      </c>
      <c r="B137" s="44" t="s">
        <v>1300</v>
      </c>
      <c r="C137" s="44" t="s">
        <v>1007</v>
      </c>
      <c r="D137" s="44" t="s">
        <v>1029</v>
      </c>
      <c r="E137" s="44" t="s">
        <v>1356</v>
      </c>
      <c r="F137" s="44" t="s">
        <v>1357</v>
      </c>
      <c r="G137" s="44" t="s">
        <v>1110</v>
      </c>
      <c r="H137" s="45" t="s">
        <v>1085</v>
      </c>
      <c r="I137" s="45" t="s">
        <v>1112</v>
      </c>
      <c r="J137" s="45" t="s">
        <v>277</v>
      </c>
      <c r="K137" s="45"/>
      <c r="L137" s="67" t="s">
        <v>1353</v>
      </c>
    </row>
    <row r="138" spans="1:12" ht="132" x14ac:dyDescent="0.35">
      <c r="A138" s="44">
        <v>135</v>
      </c>
      <c r="B138" s="44" t="s">
        <v>1300</v>
      </c>
      <c r="C138" s="44" t="s">
        <v>1007</v>
      </c>
      <c r="D138" s="44" t="s">
        <v>1029</v>
      </c>
      <c r="E138" s="44" t="s">
        <v>1358</v>
      </c>
      <c r="F138" s="44" t="s">
        <v>1359</v>
      </c>
      <c r="G138" s="44" t="s">
        <v>1110</v>
      </c>
      <c r="H138" s="45" t="s">
        <v>1085</v>
      </c>
      <c r="I138" s="45" t="s">
        <v>1112</v>
      </c>
      <c r="J138" s="45" t="s">
        <v>277</v>
      </c>
      <c r="K138" s="45"/>
      <c r="L138" s="67" t="s">
        <v>1353</v>
      </c>
    </row>
    <row r="139" spans="1:12" ht="132" x14ac:dyDescent="0.35">
      <c r="A139" s="44">
        <v>136</v>
      </c>
      <c r="B139" s="44" t="s">
        <v>1300</v>
      </c>
      <c r="C139" s="44" t="s">
        <v>1007</v>
      </c>
      <c r="D139" s="44" t="s">
        <v>1029</v>
      </c>
      <c r="E139" s="44" t="s">
        <v>1360</v>
      </c>
      <c r="F139" s="44" t="s">
        <v>1361</v>
      </c>
      <c r="G139" s="44" t="s">
        <v>1110</v>
      </c>
      <c r="H139" s="45" t="s">
        <v>1085</v>
      </c>
      <c r="I139" s="45" t="s">
        <v>1112</v>
      </c>
      <c r="J139" s="45" t="s">
        <v>277</v>
      </c>
      <c r="K139" s="45"/>
      <c r="L139" s="67" t="s">
        <v>1353</v>
      </c>
    </row>
    <row r="140" spans="1:12" ht="132" x14ac:dyDescent="0.35">
      <c r="A140" s="44">
        <v>137</v>
      </c>
      <c r="B140" s="44" t="s">
        <v>1300</v>
      </c>
      <c r="C140" s="44" t="s">
        <v>1007</v>
      </c>
      <c r="D140" s="44" t="s">
        <v>1029</v>
      </c>
      <c r="E140" s="44" t="s">
        <v>1362</v>
      </c>
      <c r="F140" s="44" t="s">
        <v>1363</v>
      </c>
      <c r="G140" s="44" t="s">
        <v>1110</v>
      </c>
      <c r="H140" s="45" t="s">
        <v>1085</v>
      </c>
      <c r="I140" s="45" t="s">
        <v>1112</v>
      </c>
      <c r="J140" s="45" t="s">
        <v>277</v>
      </c>
      <c r="K140" s="45"/>
      <c r="L140" s="67" t="s">
        <v>1353</v>
      </c>
    </row>
    <row r="141" spans="1:12" ht="132" x14ac:dyDescent="0.35">
      <c r="A141" s="44">
        <v>138</v>
      </c>
      <c r="B141" s="44" t="s">
        <v>1300</v>
      </c>
      <c r="C141" s="44" t="s">
        <v>1007</v>
      </c>
      <c r="D141" s="44" t="s">
        <v>1029</v>
      </c>
      <c r="E141" s="44" t="s">
        <v>1364</v>
      </c>
      <c r="F141" s="44" t="s">
        <v>1365</v>
      </c>
      <c r="G141" s="44" t="s">
        <v>1110</v>
      </c>
      <c r="H141" s="45" t="s">
        <v>1085</v>
      </c>
      <c r="I141" s="45" t="s">
        <v>1112</v>
      </c>
      <c r="J141" s="45" t="s">
        <v>277</v>
      </c>
      <c r="K141" s="45"/>
      <c r="L141" s="67" t="s">
        <v>1353</v>
      </c>
    </row>
    <row r="142" spans="1:12" ht="132" x14ac:dyDescent="0.35">
      <c r="A142" s="44">
        <v>139</v>
      </c>
      <c r="B142" s="44" t="s">
        <v>1300</v>
      </c>
      <c r="C142" s="44" t="s">
        <v>1007</v>
      </c>
      <c r="D142" s="44" t="s">
        <v>1029</v>
      </c>
      <c r="E142" s="44" t="s">
        <v>1366</v>
      </c>
      <c r="F142" s="44" t="s">
        <v>1367</v>
      </c>
      <c r="G142" s="44" t="s">
        <v>1110</v>
      </c>
      <c r="H142" s="45" t="s">
        <v>1085</v>
      </c>
      <c r="I142" s="45" t="s">
        <v>1112</v>
      </c>
      <c r="J142" s="45" t="s">
        <v>277</v>
      </c>
      <c r="K142" s="45"/>
      <c r="L142" s="67" t="s">
        <v>1353</v>
      </c>
    </row>
    <row r="143" spans="1:12" ht="132" x14ac:dyDescent="0.35">
      <c r="A143" s="44">
        <v>140</v>
      </c>
      <c r="B143" s="44" t="s">
        <v>1300</v>
      </c>
      <c r="C143" s="44" t="s">
        <v>1007</v>
      </c>
      <c r="D143" s="44" t="s">
        <v>1029</v>
      </c>
      <c r="E143" s="44" t="s">
        <v>1368</v>
      </c>
      <c r="F143" s="44" t="s">
        <v>1369</v>
      </c>
      <c r="G143" s="44" t="s">
        <v>1110</v>
      </c>
      <c r="H143" s="45" t="s">
        <v>1085</v>
      </c>
      <c r="I143" s="45" t="s">
        <v>1112</v>
      </c>
      <c r="J143" s="45" t="s">
        <v>277</v>
      </c>
      <c r="K143" s="45"/>
      <c r="L143" s="67" t="s">
        <v>1353</v>
      </c>
    </row>
    <row r="144" spans="1:12" ht="132" x14ac:dyDescent="0.35">
      <c r="A144" s="44">
        <v>141</v>
      </c>
      <c r="B144" s="44" t="s">
        <v>1300</v>
      </c>
      <c r="C144" s="44" t="s">
        <v>1007</v>
      </c>
      <c r="D144" s="44" t="s">
        <v>1029</v>
      </c>
      <c r="E144" s="44" t="s">
        <v>1370</v>
      </c>
      <c r="F144" s="44" t="s">
        <v>1371</v>
      </c>
      <c r="G144" s="44" t="s">
        <v>1110</v>
      </c>
      <c r="H144" s="45" t="s">
        <v>1085</v>
      </c>
      <c r="I144" s="45" t="s">
        <v>1112</v>
      </c>
      <c r="J144" s="45" t="s">
        <v>277</v>
      </c>
      <c r="K144" s="45"/>
      <c r="L144" s="67" t="s">
        <v>1353</v>
      </c>
    </row>
    <row r="145" spans="1:12" ht="132" x14ac:dyDescent="0.35">
      <c r="A145" s="44">
        <v>142</v>
      </c>
      <c r="B145" s="44" t="s">
        <v>1300</v>
      </c>
      <c r="C145" s="44" t="s">
        <v>1007</v>
      </c>
      <c r="D145" s="44" t="s">
        <v>1029</v>
      </c>
      <c r="E145" s="44" t="s">
        <v>1372</v>
      </c>
      <c r="F145" s="44" t="s">
        <v>1372</v>
      </c>
      <c r="G145" s="44" t="s">
        <v>1110</v>
      </c>
      <c r="H145" s="45" t="s">
        <v>1085</v>
      </c>
      <c r="I145" s="45" t="s">
        <v>1112</v>
      </c>
      <c r="J145" s="45" t="s">
        <v>277</v>
      </c>
      <c r="K145" s="45"/>
      <c r="L145" s="67" t="s">
        <v>1353</v>
      </c>
    </row>
    <row r="146" spans="1:12" ht="132" x14ac:dyDescent="0.35">
      <c r="A146" s="44">
        <v>143</v>
      </c>
      <c r="B146" s="44" t="s">
        <v>1300</v>
      </c>
      <c r="C146" s="44" t="s">
        <v>1007</v>
      </c>
      <c r="D146" s="44" t="s">
        <v>1029</v>
      </c>
      <c r="E146" s="44" t="s">
        <v>1373</v>
      </c>
      <c r="F146" s="44" t="s">
        <v>1374</v>
      </c>
      <c r="G146" s="44" t="s">
        <v>1110</v>
      </c>
      <c r="H146" s="45" t="s">
        <v>1085</v>
      </c>
      <c r="I146" s="45" t="s">
        <v>1112</v>
      </c>
      <c r="J146" s="45" t="s">
        <v>277</v>
      </c>
      <c r="K146" s="45"/>
      <c r="L146" s="67" t="s">
        <v>1353</v>
      </c>
    </row>
    <row r="147" spans="1:12" ht="132" x14ac:dyDescent="0.35">
      <c r="A147" s="44">
        <v>144</v>
      </c>
      <c r="B147" s="44" t="s">
        <v>1300</v>
      </c>
      <c r="C147" s="44" t="s">
        <v>1007</v>
      </c>
      <c r="D147" s="44" t="s">
        <v>1029</v>
      </c>
      <c r="E147" s="44" t="s">
        <v>1375</v>
      </c>
      <c r="F147" s="44" t="s">
        <v>1376</v>
      </c>
      <c r="G147" s="44" t="s">
        <v>1110</v>
      </c>
      <c r="H147" s="45" t="s">
        <v>1085</v>
      </c>
      <c r="I147" s="45" t="s">
        <v>1112</v>
      </c>
      <c r="J147" s="45" t="s">
        <v>277</v>
      </c>
      <c r="K147" s="45"/>
      <c r="L147" s="67" t="s">
        <v>1353</v>
      </c>
    </row>
    <row r="148" spans="1:12" ht="132" x14ac:dyDescent="0.35">
      <c r="A148" s="44">
        <v>145</v>
      </c>
      <c r="B148" s="44" t="s">
        <v>1300</v>
      </c>
      <c r="C148" s="44" t="s">
        <v>1007</v>
      </c>
      <c r="D148" s="44" t="s">
        <v>1029</v>
      </c>
      <c r="E148" s="44" t="s">
        <v>1377</v>
      </c>
      <c r="F148" s="44" t="s">
        <v>1378</v>
      </c>
      <c r="G148" s="44" t="s">
        <v>1110</v>
      </c>
      <c r="H148" s="45" t="s">
        <v>1085</v>
      </c>
      <c r="I148" s="45" t="s">
        <v>1112</v>
      </c>
      <c r="J148" s="45" t="s">
        <v>277</v>
      </c>
      <c r="K148" s="45"/>
      <c r="L148" s="67" t="s">
        <v>1353</v>
      </c>
    </row>
    <row r="149" spans="1:12" ht="132" x14ac:dyDescent="0.35">
      <c r="A149" s="44">
        <v>146</v>
      </c>
      <c r="B149" s="44" t="s">
        <v>1300</v>
      </c>
      <c r="C149" s="44" t="s">
        <v>1007</v>
      </c>
      <c r="D149" s="44" t="s">
        <v>1029</v>
      </c>
      <c r="E149" s="44" t="s">
        <v>1379</v>
      </c>
      <c r="F149" s="44" t="s">
        <v>1380</v>
      </c>
      <c r="G149" s="44" t="s">
        <v>1110</v>
      </c>
      <c r="H149" s="45" t="s">
        <v>1085</v>
      </c>
      <c r="I149" s="45" t="s">
        <v>1112</v>
      </c>
      <c r="J149" s="45" t="s">
        <v>277</v>
      </c>
      <c r="K149" s="45"/>
      <c r="L149" s="67" t="s">
        <v>1353</v>
      </c>
    </row>
    <row r="150" spans="1:12" ht="132" x14ac:dyDescent="0.35">
      <c r="A150" s="44">
        <v>147</v>
      </c>
      <c r="B150" s="44" t="s">
        <v>1300</v>
      </c>
      <c r="C150" s="44" t="s">
        <v>1007</v>
      </c>
      <c r="D150" s="44" t="s">
        <v>1029</v>
      </c>
      <c r="E150" s="44" t="s">
        <v>1381</v>
      </c>
      <c r="F150" s="44" t="s">
        <v>1382</v>
      </c>
      <c r="G150" s="44" t="s">
        <v>1110</v>
      </c>
      <c r="H150" s="45" t="s">
        <v>1085</v>
      </c>
      <c r="I150" s="45" t="s">
        <v>1112</v>
      </c>
      <c r="J150" s="45" t="s">
        <v>277</v>
      </c>
      <c r="K150" s="45"/>
      <c r="L150" s="67" t="s">
        <v>1353</v>
      </c>
    </row>
    <row r="151" spans="1:12" ht="132" x14ac:dyDescent="0.35">
      <c r="A151" s="44">
        <v>148</v>
      </c>
      <c r="B151" s="44" t="s">
        <v>1300</v>
      </c>
      <c r="C151" s="44" t="s">
        <v>1007</v>
      </c>
      <c r="D151" s="44" t="s">
        <v>1029</v>
      </c>
      <c r="E151" s="44" t="s">
        <v>1383</v>
      </c>
      <c r="F151" s="44" t="s">
        <v>1384</v>
      </c>
      <c r="G151" s="44" t="s">
        <v>1110</v>
      </c>
      <c r="H151" s="45" t="s">
        <v>1085</v>
      </c>
      <c r="I151" s="45" t="s">
        <v>1112</v>
      </c>
      <c r="J151" s="45" t="s">
        <v>277</v>
      </c>
      <c r="K151" s="45"/>
      <c r="L151" s="67" t="s">
        <v>1353</v>
      </c>
    </row>
    <row r="152" spans="1:12" ht="132" x14ac:dyDescent="0.35">
      <c r="A152" s="44">
        <v>149</v>
      </c>
      <c r="B152" s="44" t="s">
        <v>1300</v>
      </c>
      <c r="C152" s="44" t="s">
        <v>1007</v>
      </c>
      <c r="D152" s="44" t="s">
        <v>1029</v>
      </c>
      <c r="E152" s="44" t="s">
        <v>1385</v>
      </c>
      <c r="F152" s="44" t="s">
        <v>1386</v>
      </c>
      <c r="G152" s="44" t="s">
        <v>1110</v>
      </c>
      <c r="H152" s="45" t="s">
        <v>1085</v>
      </c>
      <c r="I152" s="45" t="s">
        <v>1112</v>
      </c>
      <c r="J152" s="45" t="s">
        <v>277</v>
      </c>
      <c r="K152" s="45"/>
      <c r="L152" s="67" t="s">
        <v>1353</v>
      </c>
    </row>
    <row r="153" spans="1:12" ht="132" x14ac:dyDescent="0.35">
      <c r="A153" s="44">
        <v>150</v>
      </c>
      <c r="B153" s="44" t="s">
        <v>1300</v>
      </c>
      <c r="C153" s="44" t="s">
        <v>1007</v>
      </c>
      <c r="D153" s="44" t="s">
        <v>1029</v>
      </c>
      <c r="E153" s="44" t="s">
        <v>1387</v>
      </c>
      <c r="F153" s="44" t="s">
        <v>1388</v>
      </c>
      <c r="G153" s="44" t="s">
        <v>1110</v>
      </c>
      <c r="H153" s="45" t="s">
        <v>1085</v>
      </c>
      <c r="I153" s="45" t="s">
        <v>1112</v>
      </c>
      <c r="J153" s="45" t="s">
        <v>277</v>
      </c>
      <c r="K153" s="45"/>
      <c r="L153" s="67" t="s">
        <v>1353</v>
      </c>
    </row>
    <row r="154" spans="1:12" ht="132" x14ac:dyDescent="0.35">
      <c r="A154" s="44">
        <v>151</v>
      </c>
      <c r="B154" s="44" t="s">
        <v>1300</v>
      </c>
      <c r="C154" s="44" t="s">
        <v>1007</v>
      </c>
      <c r="D154" s="44" t="s">
        <v>1029</v>
      </c>
      <c r="E154" s="44" t="s">
        <v>1389</v>
      </c>
      <c r="F154" s="44" t="s">
        <v>1390</v>
      </c>
      <c r="G154" s="44" t="s">
        <v>1110</v>
      </c>
      <c r="H154" s="45" t="s">
        <v>1085</v>
      </c>
      <c r="I154" s="45" t="s">
        <v>1112</v>
      </c>
      <c r="J154" s="45" t="s">
        <v>277</v>
      </c>
      <c r="K154" s="45"/>
      <c r="L154" s="67" t="s">
        <v>1353</v>
      </c>
    </row>
    <row r="155" spans="1:12" ht="132" x14ac:dyDescent="0.35">
      <c r="A155" s="44">
        <v>152</v>
      </c>
      <c r="B155" s="44" t="s">
        <v>1300</v>
      </c>
      <c r="C155" s="44" t="s">
        <v>1007</v>
      </c>
      <c r="D155" s="44" t="s">
        <v>1029</v>
      </c>
      <c r="E155" s="44" t="s">
        <v>1391</v>
      </c>
      <c r="F155" s="44" t="s">
        <v>1392</v>
      </c>
      <c r="G155" s="44" t="s">
        <v>1110</v>
      </c>
      <c r="H155" s="45" t="s">
        <v>1085</v>
      </c>
      <c r="I155" s="45" t="s">
        <v>1112</v>
      </c>
      <c r="J155" s="45" t="s">
        <v>277</v>
      </c>
      <c r="K155" s="45"/>
      <c r="L155" s="67" t="s">
        <v>1353</v>
      </c>
    </row>
    <row r="156" spans="1:12" ht="132" x14ac:dyDescent="0.35">
      <c r="A156" s="44">
        <v>153</v>
      </c>
      <c r="B156" s="44" t="s">
        <v>1300</v>
      </c>
      <c r="C156" s="44" t="s">
        <v>1007</v>
      </c>
      <c r="D156" s="44" t="s">
        <v>1029</v>
      </c>
      <c r="E156" s="44" t="s">
        <v>1393</v>
      </c>
      <c r="F156" s="44" t="s">
        <v>1394</v>
      </c>
      <c r="G156" s="44" t="s">
        <v>1110</v>
      </c>
      <c r="H156" s="45" t="s">
        <v>1085</v>
      </c>
      <c r="I156" s="45" t="s">
        <v>1112</v>
      </c>
      <c r="J156" s="45" t="s">
        <v>277</v>
      </c>
      <c r="K156" s="45"/>
      <c r="L156" s="67" t="s">
        <v>1353</v>
      </c>
    </row>
    <row r="157" spans="1:12" ht="132" x14ac:dyDescent="0.35">
      <c r="A157" s="44">
        <v>154</v>
      </c>
      <c r="B157" s="44" t="s">
        <v>1300</v>
      </c>
      <c r="C157" s="44" t="s">
        <v>1007</v>
      </c>
      <c r="D157" s="44" t="s">
        <v>1029</v>
      </c>
      <c r="E157" s="44" t="s">
        <v>1395</v>
      </c>
      <c r="F157" s="44" t="s">
        <v>1396</v>
      </c>
      <c r="G157" s="44" t="s">
        <v>1110</v>
      </c>
      <c r="H157" s="45" t="s">
        <v>1085</v>
      </c>
      <c r="I157" s="45" t="s">
        <v>1112</v>
      </c>
      <c r="J157" s="45" t="s">
        <v>277</v>
      </c>
      <c r="K157" s="45"/>
      <c r="L157" s="67" t="s">
        <v>1353</v>
      </c>
    </row>
    <row r="158" spans="1:12" ht="132" x14ac:dyDescent="0.35">
      <c r="A158" s="44">
        <v>155</v>
      </c>
      <c r="B158" s="44" t="s">
        <v>1300</v>
      </c>
      <c r="C158" s="44" t="s">
        <v>1007</v>
      </c>
      <c r="D158" s="44" t="s">
        <v>1029</v>
      </c>
      <c r="E158" s="44" t="s">
        <v>1397</v>
      </c>
      <c r="F158" s="44" t="s">
        <v>1397</v>
      </c>
      <c r="G158" s="44" t="s">
        <v>1110</v>
      </c>
      <c r="H158" s="45" t="s">
        <v>1085</v>
      </c>
      <c r="I158" s="45" t="s">
        <v>1112</v>
      </c>
      <c r="J158" s="45" t="s">
        <v>277</v>
      </c>
      <c r="K158" s="45"/>
      <c r="L158" s="67" t="s">
        <v>1353</v>
      </c>
    </row>
    <row r="159" spans="1:12" ht="132" x14ac:dyDescent="0.35">
      <c r="A159" s="44">
        <v>156</v>
      </c>
      <c r="B159" s="44" t="s">
        <v>1300</v>
      </c>
      <c r="C159" s="44" t="s">
        <v>1007</v>
      </c>
      <c r="D159" s="44" t="s">
        <v>1029</v>
      </c>
      <c r="E159" s="44" t="s">
        <v>1398</v>
      </c>
      <c r="F159" s="44" t="s">
        <v>1399</v>
      </c>
      <c r="G159" s="44" t="s">
        <v>1110</v>
      </c>
      <c r="H159" s="45" t="s">
        <v>1085</v>
      </c>
      <c r="I159" s="45" t="s">
        <v>1112</v>
      </c>
      <c r="J159" s="45" t="s">
        <v>277</v>
      </c>
      <c r="K159" s="45"/>
      <c r="L159" s="67" t="s">
        <v>1353</v>
      </c>
    </row>
    <row r="160" spans="1:12" ht="132" x14ac:dyDescent="0.35">
      <c r="A160" s="44">
        <v>157</v>
      </c>
      <c r="B160" s="44" t="s">
        <v>1300</v>
      </c>
      <c r="C160" s="44" t="s">
        <v>1007</v>
      </c>
      <c r="D160" s="44" t="s">
        <v>1029</v>
      </c>
      <c r="E160" s="44" t="s">
        <v>1400</v>
      </c>
      <c r="F160" s="44" t="s">
        <v>1401</v>
      </c>
      <c r="G160" s="44" t="s">
        <v>1110</v>
      </c>
      <c r="H160" s="45" t="s">
        <v>1085</v>
      </c>
      <c r="I160" s="45" t="s">
        <v>1112</v>
      </c>
      <c r="J160" s="45" t="s">
        <v>277</v>
      </c>
      <c r="K160" s="45"/>
      <c r="L160" s="67" t="s">
        <v>1353</v>
      </c>
    </row>
    <row r="161" spans="1:12" ht="132" x14ac:dyDescent="0.35">
      <c r="A161" s="44">
        <v>158</v>
      </c>
      <c r="B161" s="44" t="s">
        <v>1300</v>
      </c>
      <c r="C161" s="44" t="s">
        <v>1007</v>
      </c>
      <c r="D161" s="44" t="s">
        <v>1029</v>
      </c>
      <c r="E161" s="44" t="s">
        <v>1402</v>
      </c>
      <c r="F161" s="44" t="s">
        <v>1403</v>
      </c>
      <c r="G161" s="44" t="s">
        <v>1110</v>
      </c>
      <c r="H161" s="45" t="s">
        <v>1085</v>
      </c>
      <c r="I161" s="45" t="s">
        <v>1112</v>
      </c>
      <c r="J161" s="45" t="s">
        <v>277</v>
      </c>
      <c r="K161" s="45"/>
      <c r="L161" s="67" t="s">
        <v>1353</v>
      </c>
    </row>
    <row r="162" spans="1:12" ht="84" x14ac:dyDescent="0.35">
      <c r="A162" s="44">
        <v>159</v>
      </c>
      <c r="B162" s="44" t="s">
        <v>1300</v>
      </c>
      <c r="C162" s="44" t="s">
        <v>1007</v>
      </c>
      <c r="D162" s="44" t="s">
        <v>1404</v>
      </c>
      <c r="E162" s="44" t="s">
        <v>1405</v>
      </c>
      <c r="F162" s="44" t="s">
        <v>1406</v>
      </c>
      <c r="G162" s="44" t="s">
        <v>1110</v>
      </c>
      <c r="H162" s="45" t="s">
        <v>1085</v>
      </c>
      <c r="I162" s="45" t="s">
        <v>1112</v>
      </c>
      <c r="J162" s="45" t="s">
        <v>277</v>
      </c>
      <c r="K162" s="45"/>
      <c r="L162" s="67" t="s">
        <v>1407</v>
      </c>
    </row>
    <row r="163" spans="1:12" ht="84" x14ac:dyDescent="0.35">
      <c r="A163" s="44">
        <v>160</v>
      </c>
      <c r="B163" s="44" t="s">
        <v>1300</v>
      </c>
      <c r="C163" s="44" t="s">
        <v>1007</v>
      </c>
      <c r="D163" s="44" t="s">
        <v>1404</v>
      </c>
      <c r="E163" s="44" t="s">
        <v>1408</v>
      </c>
      <c r="F163" s="44" t="s">
        <v>1409</v>
      </c>
      <c r="G163" s="44" t="s">
        <v>1110</v>
      </c>
      <c r="H163" s="45" t="s">
        <v>1085</v>
      </c>
      <c r="I163" s="45" t="s">
        <v>1112</v>
      </c>
      <c r="J163" s="45" t="s">
        <v>277</v>
      </c>
      <c r="K163" s="45"/>
      <c r="L163" s="67" t="s">
        <v>1407</v>
      </c>
    </row>
    <row r="164" spans="1:12" ht="96" x14ac:dyDescent="0.35">
      <c r="A164" s="44">
        <v>161</v>
      </c>
      <c r="B164" s="44" t="s">
        <v>1300</v>
      </c>
      <c r="C164" s="44" t="s">
        <v>1007</v>
      </c>
      <c r="D164" s="44" t="s">
        <v>1410</v>
      </c>
      <c r="E164" s="44" t="s">
        <v>1411</v>
      </c>
      <c r="F164" s="44" t="s">
        <v>1412</v>
      </c>
      <c r="G164" s="44" t="s">
        <v>1110</v>
      </c>
      <c r="H164" s="45" t="s">
        <v>1085</v>
      </c>
      <c r="I164" s="45" t="s">
        <v>1112</v>
      </c>
      <c r="J164" s="45" t="s">
        <v>277</v>
      </c>
      <c r="K164" s="45"/>
      <c r="L164" s="67" t="s">
        <v>1341</v>
      </c>
    </row>
    <row r="165" spans="1:12" ht="96" x14ac:dyDescent="0.35">
      <c r="A165" s="44">
        <v>162</v>
      </c>
      <c r="B165" s="44" t="s">
        <v>1300</v>
      </c>
      <c r="C165" s="44" t="s">
        <v>1007</v>
      </c>
      <c r="D165" s="44" t="s">
        <v>1410</v>
      </c>
      <c r="E165" s="44" t="s">
        <v>1413</v>
      </c>
      <c r="F165" s="44" t="s">
        <v>1414</v>
      </c>
      <c r="G165" s="44" t="s">
        <v>1110</v>
      </c>
      <c r="H165" s="45" t="s">
        <v>1085</v>
      </c>
      <c r="I165" s="45" t="s">
        <v>1112</v>
      </c>
      <c r="J165" s="45" t="s">
        <v>277</v>
      </c>
      <c r="K165" s="45"/>
      <c r="L165" s="67" t="s">
        <v>1341</v>
      </c>
    </row>
    <row r="166" spans="1:12" ht="96" x14ac:dyDescent="0.35">
      <c r="A166" s="44">
        <v>163</v>
      </c>
      <c r="B166" s="44" t="s">
        <v>1300</v>
      </c>
      <c r="C166" s="44" t="s">
        <v>1007</v>
      </c>
      <c r="D166" s="44" t="s">
        <v>1410</v>
      </c>
      <c r="E166" s="44" t="s">
        <v>1415</v>
      </c>
      <c r="F166" s="44" t="s">
        <v>1416</v>
      </c>
      <c r="G166" s="44" t="s">
        <v>1110</v>
      </c>
      <c r="H166" s="45" t="s">
        <v>1085</v>
      </c>
      <c r="I166" s="45" t="s">
        <v>1112</v>
      </c>
      <c r="J166" s="45" t="s">
        <v>277</v>
      </c>
      <c r="K166" s="45"/>
      <c r="L166" s="67" t="s">
        <v>1341</v>
      </c>
    </row>
    <row r="167" spans="1:12" ht="96" x14ac:dyDescent="0.35">
      <c r="A167" s="44">
        <v>164</v>
      </c>
      <c r="B167" s="44" t="s">
        <v>1300</v>
      </c>
      <c r="C167" s="44" t="s">
        <v>1007</v>
      </c>
      <c r="D167" s="44" t="s">
        <v>1410</v>
      </c>
      <c r="E167" s="44" t="s">
        <v>1417</v>
      </c>
      <c r="F167" s="44" t="s">
        <v>1418</v>
      </c>
      <c r="G167" s="44" t="s">
        <v>1110</v>
      </c>
      <c r="H167" s="45" t="s">
        <v>1085</v>
      </c>
      <c r="I167" s="45" t="s">
        <v>1112</v>
      </c>
      <c r="J167" s="45" t="s">
        <v>277</v>
      </c>
      <c r="K167" s="45"/>
      <c r="L167" s="67" t="s">
        <v>1341</v>
      </c>
    </row>
    <row r="168" spans="1:12" ht="96" x14ac:dyDescent="0.35">
      <c r="A168" s="44">
        <v>165</v>
      </c>
      <c r="B168" s="44" t="s">
        <v>1300</v>
      </c>
      <c r="C168" s="44" t="s">
        <v>1007</v>
      </c>
      <c r="D168" s="44" t="s">
        <v>1410</v>
      </c>
      <c r="E168" s="44" t="s">
        <v>1419</v>
      </c>
      <c r="F168" s="44" t="s">
        <v>1420</v>
      </c>
      <c r="G168" s="44" t="s">
        <v>1110</v>
      </c>
      <c r="H168" s="45" t="s">
        <v>1085</v>
      </c>
      <c r="I168" s="45" t="s">
        <v>1112</v>
      </c>
      <c r="J168" s="45" t="s">
        <v>277</v>
      </c>
      <c r="K168" s="45"/>
      <c r="L168" s="67" t="s">
        <v>1341</v>
      </c>
    </row>
    <row r="169" spans="1:12" ht="96" x14ac:dyDescent="0.35">
      <c r="A169" s="44">
        <v>166</v>
      </c>
      <c r="B169" s="44" t="s">
        <v>1300</v>
      </c>
      <c r="C169" s="44" t="s">
        <v>1007</v>
      </c>
      <c r="D169" s="44" t="s">
        <v>1410</v>
      </c>
      <c r="E169" s="44" t="s">
        <v>1421</v>
      </c>
      <c r="F169" s="44" t="s">
        <v>1422</v>
      </c>
      <c r="G169" s="44" t="s">
        <v>1110</v>
      </c>
      <c r="H169" s="45" t="s">
        <v>1085</v>
      </c>
      <c r="I169" s="45" t="s">
        <v>1112</v>
      </c>
      <c r="J169" s="45" t="s">
        <v>277</v>
      </c>
      <c r="K169" s="45"/>
      <c r="L169" s="67" t="s">
        <v>1341</v>
      </c>
    </row>
    <row r="170" spans="1:12" ht="96" x14ac:dyDescent="0.35">
      <c r="A170" s="44">
        <v>167</v>
      </c>
      <c r="B170" s="44" t="s">
        <v>1300</v>
      </c>
      <c r="C170" s="44" t="s">
        <v>1007</v>
      </c>
      <c r="D170" s="44" t="s">
        <v>1235</v>
      </c>
      <c r="E170" s="44" t="s">
        <v>1423</v>
      </c>
      <c r="F170" s="44" t="s">
        <v>1424</v>
      </c>
      <c r="G170" s="44" t="s">
        <v>1110</v>
      </c>
      <c r="H170" s="45" t="s">
        <v>1085</v>
      </c>
      <c r="I170" s="45" t="s">
        <v>1112</v>
      </c>
      <c r="J170" s="45" t="s">
        <v>277</v>
      </c>
      <c r="K170" s="45"/>
      <c r="L170" s="67" t="s">
        <v>1341</v>
      </c>
    </row>
    <row r="171" spans="1:12" ht="96" x14ac:dyDescent="0.35">
      <c r="A171" s="44">
        <v>168</v>
      </c>
      <c r="B171" s="44" t="s">
        <v>1300</v>
      </c>
      <c r="C171" s="44" t="s">
        <v>1007</v>
      </c>
      <c r="D171" s="44" t="s">
        <v>1235</v>
      </c>
      <c r="E171" s="44" t="s">
        <v>1425</v>
      </c>
      <c r="F171" s="44" t="s">
        <v>1426</v>
      </c>
      <c r="G171" s="44" t="s">
        <v>1110</v>
      </c>
      <c r="H171" s="45" t="s">
        <v>1085</v>
      </c>
      <c r="I171" s="45" t="s">
        <v>1112</v>
      </c>
      <c r="J171" s="45" t="s">
        <v>277</v>
      </c>
      <c r="K171" s="45"/>
      <c r="L171" s="67" t="s">
        <v>1341</v>
      </c>
    </row>
    <row r="172" spans="1:12" ht="108" x14ac:dyDescent="0.35">
      <c r="A172" s="44">
        <v>169</v>
      </c>
      <c r="B172" s="44" t="s">
        <v>1300</v>
      </c>
      <c r="C172" s="44" t="s">
        <v>1007</v>
      </c>
      <c r="D172" s="44" t="s">
        <v>1089</v>
      </c>
      <c r="E172" s="44" t="s">
        <v>1427</v>
      </c>
      <c r="F172" s="44" t="s">
        <v>1428</v>
      </c>
      <c r="G172" s="44" t="s">
        <v>1110</v>
      </c>
      <c r="H172" s="45" t="s">
        <v>1085</v>
      </c>
      <c r="I172" s="45" t="s">
        <v>1112</v>
      </c>
      <c r="J172" s="45" t="s">
        <v>277</v>
      </c>
      <c r="K172" s="45"/>
      <c r="L172" s="67" t="s">
        <v>1429</v>
      </c>
    </row>
    <row r="173" spans="1:12" ht="108" x14ac:dyDescent="0.35">
      <c r="A173" s="44">
        <v>170</v>
      </c>
      <c r="B173" s="44" t="s">
        <v>1300</v>
      </c>
      <c r="C173" s="44" t="s">
        <v>1007</v>
      </c>
      <c r="D173" s="44" t="s">
        <v>1089</v>
      </c>
      <c r="E173" s="44" t="s">
        <v>1430</v>
      </c>
      <c r="F173" s="44" t="s">
        <v>1431</v>
      </c>
      <c r="G173" s="44" t="s">
        <v>1110</v>
      </c>
      <c r="H173" s="45" t="s">
        <v>1085</v>
      </c>
      <c r="I173" s="45" t="s">
        <v>1112</v>
      </c>
      <c r="J173" s="45" t="s">
        <v>277</v>
      </c>
      <c r="K173" s="45"/>
      <c r="L173" s="67" t="s">
        <v>1429</v>
      </c>
    </row>
    <row r="174" spans="1:12" ht="108" x14ac:dyDescent="0.35">
      <c r="A174" s="44">
        <v>171</v>
      </c>
      <c r="B174" s="44" t="s">
        <v>1300</v>
      </c>
      <c r="C174" s="44" t="s">
        <v>1007</v>
      </c>
      <c r="D174" s="44" t="s">
        <v>1089</v>
      </c>
      <c r="E174" s="44" t="s">
        <v>1432</v>
      </c>
      <c r="F174" s="44" t="s">
        <v>1433</v>
      </c>
      <c r="G174" s="44" t="s">
        <v>1110</v>
      </c>
      <c r="H174" s="45" t="s">
        <v>1085</v>
      </c>
      <c r="I174" s="45" t="s">
        <v>1112</v>
      </c>
      <c r="J174" s="45" t="s">
        <v>277</v>
      </c>
      <c r="K174" s="45"/>
      <c r="L174" s="67" t="s">
        <v>1429</v>
      </c>
    </row>
    <row r="175" spans="1:12" ht="108" x14ac:dyDescent="0.35">
      <c r="A175" s="44">
        <v>172</v>
      </c>
      <c r="B175" s="44" t="s">
        <v>1300</v>
      </c>
      <c r="C175" s="44" t="s">
        <v>1007</v>
      </c>
      <c r="D175" s="44" t="s">
        <v>1089</v>
      </c>
      <c r="E175" s="44" t="s">
        <v>1434</v>
      </c>
      <c r="F175" s="44" t="s">
        <v>1435</v>
      </c>
      <c r="G175" s="44" t="s">
        <v>1110</v>
      </c>
      <c r="H175" s="45" t="s">
        <v>1085</v>
      </c>
      <c r="I175" s="45" t="s">
        <v>1112</v>
      </c>
      <c r="J175" s="45" t="s">
        <v>277</v>
      </c>
      <c r="K175" s="45"/>
      <c r="L175" s="67" t="s">
        <v>1429</v>
      </c>
    </row>
    <row r="176" spans="1:12" ht="108" x14ac:dyDescent="0.35">
      <c r="A176" s="44">
        <v>173</v>
      </c>
      <c r="B176" s="44" t="s">
        <v>1300</v>
      </c>
      <c r="C176" s="44" t="s">
        <v>1007</v>
      </c>
      <c r="D176" s="44" t="s">
        <v>1089</v>
      </c>
      <c r="E176" s="44" t="s">
        <v>1436</v>
      </c>
      <c r="F176" s="44" t="s">
        <v>1437</v>
      </c>
      <c r="G176" s="44" t="s">
        <v>1110</v>
      </c>
      <c r="H176" s="45" t="s">
        <v>1085</v>
      </c>
      <c r="I176" s="45" t="s">
        <v>1112</v>
      </c>
      <c r="J176" s="45" t="s">
        <v>277</v>
      </c>
      <c r="K176" s="45"/>
      <c r="L176" s="67" t="s">
        <v>1429</v>
      </c>
    </row>
    <row r="177" spans="1:12" ht="108" x14ac:dyDescent="0.35">
      <c r="A177" s="44">
        <v>174</v>
      </c>
      <c r="B177" s="44" t="s">
        <v>1300</v>
      </c>
      <c r="C177" s="44" t="s">
        <v>1007</v>
      </c>
      <c r="D177" s="44" t="s">
        <v>1089</v>
      </c>
      <c r="E177" s="44" t="s">
        <v>1438</v>
      </c>
      <c r="F177" s="44" t="s">
        <v>1439</v>
      </c>
      <c r="G177" s="44" t="s">
        <v>1110</v>
      </c>
      <c r="H177" s="45" t="s">
        <v>1085</v>
      </c>
      <c r="I177" s="45" t="s">
        <v>1112</v>
      </c>
      <c r="J177" s="45" t="s">
        <v>277</v>
      </c>
      <c r="K177" s="45"/>
      <c r="L177" s="67" t="s">
        <v>1429</v>
      </c>
    </row>
    <row r="178" spans="1:12" ht="108" x14ac:dyDescent="0.35">
      <c r="A178" s="44">
        <v>175</v>
      </c>
      <c r="B178" s="44" t="s">
        <v>1300</v>
      </c>
      <c r="C178" s="44" t="s">
        <v>1007</v>
      </c>
      <c r="D178" s="44" t="s">
        <v>1089</v>
      </c>
      <c r="E178" s="44" t="s">
        <v>1440</v>
      </c>
      <c r="F178" s="44" t="s">
        <v>1441</v>
      </c>
      <c r="G178" s="44" t="s">
        <v>1110</v>
      </c>
      <c r="H178" s="45" t="s">
        <v>1085</v>
      </c>
      <c r="I178" s="45" t="s">
        <v>1112</v>
      </c>
      <c r="J178" s="45" t="s">
        <v>277</v>
      </c>
      <c r="K178" s="45"/>
      <c r="L178" s="67" t="s">
        <v>1429</v>
      </c>
    </row>
    <row r="179" spans="1:12" ht="108" x14ac:dyDescent="0.35">
      <c r="A179" s="44">
        <v>176</v>
      </c>
      <c r="B179" s="44" t="s">
        <v>1300</v>
      </c>
      <c r="C179" s="44" t="s">
        <v>1007</v>
      </c>
      <c r="D179" s="44" t="s">
        <v>1089</v>
      </c>
      <c r="E179" s="44" t="s">
        <v>1442</v>
      </c>
      <c r="F179" s="44" t="s">
        <v>1443</v>
      </c>
      <c r="G179" s="44" t="s">
        <v>1110</v>
      </c>
      <c r="H179" s="45" t="s">
        <v>1085</v>
      </c>
      <c r="I179" s="45" t="s">
        <v>1112</v>
      </c>
      <c r="J179" s="45" t="s">
        <v>277</v>
      </c>
      <c r="K179" s="45"/>
      <c r="L179" s="67" t="s">
        <v>1429</v>
      </c>
    </row>
    <row r="180" spans="1:12" ht="108" x14ac:dyDescent="0.35">
      <c r="A180" s="44">
        <v>177</v>
      </c>
      <c r="B180" s="44" t="s">
        <v>1300</v>
      </c>
      <c r="C180" s="44" t="s">
        <v>1007</v>
      </c>
      <c r="D180" s="44" t="s">
        <v>1089</v>
      </c>
      <c r="E180" s="44" t="s">
        <v>1444</v>
      </c>
      <c r="F180" s="44" t="s">
        <v>1445</v>
      </c>
      <c r="G180" s="44" t="s">
        <v>1110</v>
      </c>
      <c r="H180" s="45" t="s">
        <v>1085</v>
      </c>
      <c r="I180" s="45" t="s">
        <v>1112</v>
      </c>
      <c r="J180" s="45" t="s">
        <v>277</v>
      </c>
      <c r="K180" s="45"/>
      <c r="L180" s="67" t="s">
        <v>1429</v>
      </c>
    </row>
    <row r="181" spans="1:12" ht="108" x14ac:dyDescent="0.35">
      <c r="A181" s="44">
        <v>178</v>
      </c>
      <c r="B181" s="44" t="s">
        <v>1300</v>
      </c>
      <c r="C181" s="44" t="s">
        <v>1007</v>
      </c>
      <c r="D181" s="44" t="s">
        <v>1089</v>
      </c>
      <c r="E181" s="44" t="s">
        <v>1446</v>
      </c>
      <c r="F181" s="44" t="s">
        <v>1447</v>
      </c>
      <c r="G181" s="44" t="s">
        <v>1110</v>
      </c>
      <c r="H181" s="45" t="s">
        <v>1085</v>
      </c>
      <c r="I181" s="45" t="s">
        <v>1112</v>
      </c>
      <c r="J181" s="45" t="s">
        <v>277</v>
      </c>
      <c r="K181" s="45"/>
      <c r="L181" s="67" t="s">
        <v>1429</v>
      </c>
    </row>
    <row r="182" spans="1:12" ht="108" x14ac:dyDescent="0.35">
      <c r="A182" s="44">
        <v>179</v>
      </c>
      <c r="B182" s="44" t="s">
        <v>1300</v>
      </c>
      <c r="C182" s="44" t="s">
        <v>1007</v>
      </c>
      <c r="D182" s="44" t="s">
        <v>1089</v>
      </c>
      <c r="E182" s="44" t="s">
        <v>1448</v>
      </c>
      <c r="F182" s="44" t="s">
        <v>1448</v>
      </c>
      <c r="G182" s="44" t="s">
        <v>1110</v>
      </c>
      <c r="H182" s="45" t="s">
        <v>1085</v>
      </c>
      <c r="I182" s="45" t="s">
        <v>1112</v>
      </c>
      <c r="J182" s="45" t="s">
        <v>277</v>
      </c>
      <c r="K182" s="45"/>
      <c r="L182" s="67" t="s">
        <v>1429</v>
      </c>
    </row>
    <row r="183" spans="1:12" ht="108" x14ac:dyDescent="0.35">
      <c r="A183" s="44">
        <v>180</v>
      </c>
      <c r="B183" s="44" t="s">
        <v>1300</v>
      </c>
      <c r="C183" s="44" t="s">
        <v>1007</v>
      </c>
      <c r="D183" s="44" t="s">
        <v>1089</v>
      </c>
      <c r="E183" s="44" t="s">
        <v>1449</v>
      </c>
      <c r="F183" s="44" t="s">
        <v>1450</v>
      </c>
      <c r="G183" s="44" t="s">
        <v>1110</v>
      </c>
      <c r="H183" s="45" t="s">
        <v>1085</v>
      </c>
      <c r="I183" s="45" t="s">
        <v>1112</v>
      </c>
      <c r="J183" s="45" t="s">
        <v>277</v>
      </c>
      <c r="K183" s="45"/>
      <c r="L183" s="67" t="s">
        <v>1429</v>
      </c>
    </row>
    <row r="184" spans="1:12" ht="108" x14ac:dyDescent="0.35">
      <c r="A184" s="44">
        <v>181</v>
      </c>
      <c r="B184" s="44" t="s">
        <v>1300</v>
      </c>
      <c r="C184" s="44" t="s">
        <v>1007</v>
      </c>
      <c r="D184" s="44" t="s">
        <v>1089</v>
      </c>
      <c r="E184" s="44" t="s">
        <v>1451</v>
      </c>
      <c r="F184" s="44" t="s">
        <v>1452</v>
      </c>
      <c r="G184" s="44" t="s">
        <v>1110</v>
      </c>
      <c r="H184" s="45" t="s">
        <v>1085</v>
      </c>
      <c r="I184" s="45" t="s">
        <v>1112</v>
      </c>
      <c r="J184" s="45" t="s">
        <v>277</v>
      </c>
      <c r="K184" s="45"/>
      <c r="L184" s="67" t="s">
        <v>1429</v>
      </c>
    </row>
    <row r="185" spans="1:12" ht="108" x14ac:dyDescent="0.35">
      <c r="A185" s="44">
        <v>182</v>
      </c>
      <c r="B185" s="44" t="s">
        <v>1300</v>
      </c>
      <c r="C185" s="44" t="s">
        <v>1007</v>
      </c>
      <c r="D185" s="44" t="s">
        <v>1089</v>
      </c>
      <c r="E185" s="44" t="s">
        <v>1453</v>
      </c>
      <c r="F185" s="44" t="s">
        <v>1454</v>
      </c>
      <c r="G185" s="44" t="s">
        <v>1110</v>
      </c>
      <c r="H185" s="45" t="s">
        <v>1085</v>
      </c>
      <c r="I185" s="45" t="s">
        <v>1112</v>
      </c>
      <c r="J185" s="45" t="s">
        <v>277</v>
      </c>
      <c r="K185" s="45"/>
      <c r="L185" s="67" t="s">
        <v>1429</v>
      </c>
    </row>
    <row r="186" spans="1:12" ht="108" x14ac:dyDescent="0.35">
      <c r="A186" s="44">
        <v>183</v>
      </c>
      <c r="B186" s="44" t="s">
        <v>1300</v>
      </c>
      <c r="C186" s="44" t="s">
        <v>1007</v>
      </c>
      <c r="D186" s="44" t="s">
        <v>1089</v>
      </c>
      <c r="E186" s="44" t="s">
        <v>1455</v>
      </c>
      <c r="F186" s="44" t="s">
        <v>1456</v>
      </c>
      <c r="G186" s="44" t="s">
        <v>1110</v>
      </c>
      <c r="H186" s="45" t="s">
        <v>1085</v>
      </c>
      <c r="I186" s="45" t="s">
        <v>1112</v>
      </c>
      <c r="J186" s="45" t="s">
        <v>277</v>
      </c>
      <c r="K186" s="45"/>
      <c r="L186" s="67" t="s">
        <v>1429</v>
      </c>
    </row>
    <row r="187" spans="1:12" ht="108" x14ac:dyDescent="0.35">
      <c r="A187" s="44">
        <v>184</v>
      </c>
      <c r="B187" s="44" t="s">
        <v>1300</v>
      </c>
      <c r="C187" s="44" t="s">
        <v>1007</v>
      </c>
      <c r="D187" s="44" t="s">
        <v>1089</v>
      </c>
      <c r="E187" s="44" t="s">
        <v>1457</v>
      </c>
      <c r="F187" s="44" t="s">
        <v>1458</v>
      </c>
      <c r="G187" s="44" t="s">
        <v>1110</v>
      </c>
      <c r="H187" s="45" t="s">
        <v>1085</v>
      </c>
      <c r="I187" s="45" t="s">
        <v>1112</v>
      </c>
      <c r="J187" s="45" t="s">
        <v>277</v>
      </c>
      <c r="K187" s="45"/>
      <c r="L187" s="67" t="s">
        <v>1429</v>
      </c>
    </row>
    <row r="188" spans="1:12" ht="108" x14ac:dyDescent="0.35">
      <c r="A188" s="44">
        <v>185</v>
      </c>
      <c r="B188" s="44" t="s">
        <v>1300</v>
      </c>
      <c r="C188" s="44" t="s">
        <v>1007</v>
      </c>
      <c r="D188" s="44" t="s">
        <v>1089</v>
      </c>
      <c r="E188" s="44" t="s">
        <v>1459</v>
      </c>
      <c r="F188" s="44" t="s">
        <v>1460</v>
      </c>
      <c r="G188" s="44" t="s">
        <v>1110</v>
      </c>
      <c r="H188" s="45" t="s">
        <v>1085</v>
      </c>
      <c r="I188" s="45" t="s">
        <v>1112</v>
      </c>
      <c r="J188" s="45" t="s">
        <v>277</v>
      </c>
      <c r="K188" s="45"/>
      <c r="L188" s="67" t="s">
        <v>1429</v>
      </c>
    </row>
    <row r="189" spans="1:12" ht="108" x14ac:dyDescent="0.35">
      <c r="A189" s="44">
        <v>186</v>
      </c>
      <c r="B189" s="44" t="s">
        <v>1300</v>
      </c>
      <c r="C189" s="44" t="s">
        <v>1007</v>
      </c>
      <c r="D189" s="44" t="s">
        <v>1089</v>
      </c>
      <c r="E189" s="44" t="s">
        <v>1461</v>
      </c>
      <c r="F189" s="44" t="s">
        <v>1462</v>
      </c>
      <c r="G189" s="44" t="s">
        <v>1110</v>
      </c>
      <c r="H189" s="45" t="s">
        <v>1085</v>
      </c>
      <c r="I189" s="45" t="s">
        <v>1112</v>
      </c>
      <c r="J189" s="45" t="s">
        <v>277</v>
      </c>
      <c r="K189" s="45"/>
      <c r="L189" s="67" t="s">
        <v>1429</v>
      </c>
    </row>
    <row r="190" spans="1:12" ht="96" x14ac:dyDescent="0.35">
      <c r="A190" s="44">
        <v>187</v>
      </c>
      <c r="B190" s="44" t="s">
        <v>1463</v>
      </c>
      <c r="C190" s="44" t="s">
        <v>1007</v>
      </c>
      <c r="D190" s="44" t="s">
        <v>1464</v>
      </c>
      <c r="E190" s="44" t="s">
        <v>1465</v>
      </c>
      <c r="F190" s="44" t="s">
        <v>1466</v>
      </c>
      <c r="G190" s="44" t="s">
        <v>997</v>
      </c>
      <c r="H190" s="45" t="s">
        <v>1637</v>
      </c>
      <c r="I190" s="45" t="s">
        <v>1597</v>
      </c>
      <c r="J190" s="45" t="s">
        <v>277</v>
      </c>
      <c r="K190" s="45"/>
      <c r="L190" s="67" t="s">
        <v>1467</v>
      </c>
    </row>
    <row r="191" spans="1:12" ht="96" x14ac:dyDescent="0.35">
      <c r="A191" s="44">
        <v>188</v>
      </c>
      <c r="B191" s="44" t="s">
        <v>1463</v>
      </c>
      <c r="C191" s="44" t="s">
        <v>1007</v>
      </c>
      <c r="D191" s="44" t="s">
        <v>1464</v>
      </c>
      <c r="E191" s="44" t="s">
        <v>1468</v>
      </c>
      <c r="F191" s="44" t="s">
        <v>1469</v>
      </c>
      <c r="G191" s="44" t="s">
        <v>997</v>
      </c>
      <c r="H191" s="45" t="s">
        <v>1637</v>
      </c>
      <c r="I191" s="45" t="s">
        <v>1598</v>
      </c>
      <c r="J191" s="45" t="s">
        <v>277</v>
      </c>
      <c r="K191" s="45"/>
      <c r="L191" s="67" t="s">
        <v>1467</v>
      </c>
    </row>
    <row r="192" spans="1:12" ht="96" x14ac:dyDescent="0.35">
      <c r="A192" s="44">
        <v>189</v>
      </c>
      <c r="B192" s="44" t="s">
        <v>1463</v>
      </c>
      <c r="C192" s="44" t="s">
        <v>1007</v>
      </c>
      <c r="D192" s="44" t="s">
        <v>1464</v>
      </c>
      <c r="E192" s="44" t="s">
        <v>1470</v>
      </c>
      <c r="F192" s="44" t="s">
        <v>1471</v>
      </c>
      <c r="G192" s="44" t="s">
        <v>997</v>
      </c>
      <c r="H192" s="45" t="s">
        <v>1637</v>
      </c>
      <c r="I192" s="45" t="s">
        <v>1599</v>
      </c>
      <c r="J192" s="45" t="s">
        <v>277</v>
      </c>
      <c r="K192" s="45"/>
      <c r="L192" s="67" t="s">
        <v>1467</v>
      </c>
    </row>
    <row r="193" spans="1:12" ht="96" x14ac:dyDescent="0.35">
      <c r="A193" s="44">
        <v>190</v>
      </c>
      <c r="B193" s="44" t="s">
        <v>1463</v>
      </c>
      <c r="C193" s="44" t="s">
        <v>1007</v>
      </c>
      <c r="D193" s="44" t="s">
        <v>1464</v>
      </c>
      <c r="E193" s="44" t="s">
        <v>1472</v>
      </c>
      <c r="F193" s="44" t="s">
        <v>1473</v>
      </c>
      <c r="G193" s="44" t="s">
        <v>997</v>
      </c>
      <c r="H193" s="45" t="s">
        <v>1637</v>
      </c>
      <c r="I193" s="45" t="s">
        <v>1600</v>
      </c>
      <c r="J193" s="45" t="s">
        <v>277</v>
      </c>
      <c r="K193" s="45"/>
      <c r="L193" s="67" t="s">
        <v>1467</v>
      </c>
    </row>
    <row r="194" spans="1:12" ht="96" x14ac:dyDescent="0.35">
      <c r="A194" s="44">
        <v>191</v>
      </c>
      <c r="B194" s="44" t="s">
        <v>1463</v>
      </c>
      <c r="C194" s="44" t="s">
        <v>1007</v>
      </c>
      <c r="D194" s="44" t="s">
        <v>1464</v>
      </c>
      <c r="E194" s="44" t="s">
        <v>1474</v>
      </c>
      <c r="F194" s="44" t="s">
        <v>1475</v>
      </c>
      <c r="G194" s="44" t="s">
        <v>997</v>
      </c>
      <c r="H194" s="45" t="s">
        <v>1637</v>
      </c>
      <c r="I194" s="45" t="s">
        <v>1601</v>
      </c>
      <c r="J194" s="45" t="s">
        <v>277</v>
      </c>
      <c r="K194" s="45"/>
      <c r="L194" s="67" t="s">
        <v>1467</v>
      </c>
    </row>
    <row r="195" spans="1:12" ht="96" x14ac:dyDescent="0.35">
      <c r="A195" s="44">
        <v>192</v>
      </c>
      <c r="B195" s="44" t="s">
        <v>1463</v>
      </c>
      <c r="C195" s="44" t="s">
        <v>1007</v>
      </c>
      <c r="D195" s="44" t="s">
        <v>1464</v>
      </c>
      <c r="E195" s="44" t="s">
        <v>1476</v>
      </c>
      <c r="F195" s="44" t="s">
        <v>1477</v>
      </c>
      <c r="G195" s="44" t="s">
        <v>997</v>
      </c>
      <c r="H195" s="45" t="s">
        <v>1637</v>
      </c>
      <c r="I195" s="45" t="s">
        <v>1602</v>
      </c>
      <c r="J195" s="45" t="s">
        <v>277</v>
      </c>
      <c r="K195" s="45"/>
      <c r="L195" s="67" t="s">
        <v>1467</v>
      </c>
    </row>
    <row r="196" spans="1:12" ht="96" x14ac:dyDescent="0.35">
      <c r="A196" s="44">
        <v>193</v>
      </c>
      <c r="B196" s="44" t="s">
        <v>1463</v>
      </c>
      <c r="C196" s="44" t="s">
        <v>1007</v>
      </c>
      <c r="D196" s="44" t="s">
        <v>1478</v>
      </c>
      <c r="E196" s="44" t="s">
        <v>1479</v>
      </c>
      <c r="F196" s="44" t="s">
        <v>1480</v>
      </c>
      <c r="G196" s="44" t="s">
        <v>997</v>
      </c>
      <c r="H196" s="45" t="s">
        <v>1637</v>
      </c>
      <c r="I196" s="45" t="s">
        <v>1603</v>
      </c>
      <c r="J196" s="45" t="s">
        <v>277</v>
      </c>
      <c r="K196" s="45"/>
      <c r="L196" s="67" t="s">
        <v>1481</v>
      </c>
    </row>
    <row r="197" spans="1:12" ht="96" x14ac:dyDescent="0.35">
      <c r="A197" s="44">
        <v>194</v>
      </c>
      <c r="B197" s="44" t="s">
        <v>1463</v>
      </c>
      <c r="C197" s="44" t="s">
        <v>1007</v>
      </c>
      <c r="D197" s="44" t="s">
        <v>1478</v>
      </c>
      <c r="E197" s="44" t="s">
        <v>1482</v>
      </c>
      <c r="F197" s="44" t="s">
        <v>1483</v>
      </c>
      <c r="G197" s="44" t="s">
        <v>997</v>
      </c>
      <c r="H197" s="45" t="s">
        <v>1637</v>
      </c>
      <c r="I197" s="45" t="s">
        <v>1604</v>
      </c>
      <c r="J197" s="45" t="s">
        <v>277</v>
      </c>
      <c r="K197" s="45"/>
      <c r="L197" s="67" t="s">
        <v>1481</v>
      </c>
    </row>
    <row r="198" spans="1:12" ht="96" x14ac:dyDescent="0.35">
      <c r="A198" s="44">
        <v>195</v>
      </c>
      <c r="B198" s="44" t="s">
        <v>1463</v>
      </c>
      <c r="C198" s="44" t="s">
        <v>1007</v>
      </c>
      <c r="D198" s="44" t="s">
        <v>1484</v>
      </c>
      <c r="E198" s="44" t="s">
        <v>1485</v>
      </c>
      <c r="F198" s="44" t="s">
        <v>1486</v>
      </c>
      <c r="G198" s="44" t="s">
        <v>997</v>
      </c>
      <c r="H198" s="45" t="s">
        <v>1637</v>
      </c>
      <c r="I198" s="45" t="s">
        <v>1605</v>
      </c>
      <c r="J198" s="45" t="s">
        <v>277</v>
      </c>
      <c r="K198" s="45"/>
      <c r="L198" s="67" t="s">
        <v>1481</v>
      </c>
    </row>
    <row r="199" spans="1:12" ht="96" x14ac:dyDescent="0.35">
      <c r="A199" s="44">
        <v>196</v>
      </c>
      <c r="B199" s="44" t="s">
        <v>1463</v>
      </c>
      <c r="C199" s="44" t="s">
        <v>1007</v>
      </c>
      <c r="D199" s="44" t="s">
        <v>1484</v>
      </c>
      <c r="E199" s="44" t="s">
        <v>1487</v>
      </c>
      <c r="F199" s="44" t="s">
        <v>1488</v>
      </c>
      <c r="G199" s="44" t="s">
        <v>997</v>
      </c>
      <c r="H199" s="45" t="s">
        <v>1637</v>
      </c>
      <c r="I199" s="45" t="s">
        <v>1606</v>
      </c>
      <c r="J199" s="45" t="s">
        <v>277</v>
      </c>
      <c r="K199" s="45"/>
      <c r="L199" s="67" t="s">
        <v>1481</v>
      </c>
    </row>
    <row r="200" spans="1:12" ht="96" x14ac:dyDescent="0.35">
      <c r="A200" s="44">
        <v>197</v>
      </c>
      <c r="B200" s="44" t="s">
        <v>1463</v>
      </c>
      <c r="C200" s="44" t="s">
        <v>1007</v>
      </c>
      <c r="D200" s="44" t="s">
        <v>1484</v>
      </c>
      <c r="E200" s="44" t="s">
        <v>1489</v>
      </c>
      <c r="F200" s="44" t="s">
        <v>1490</v>
      </c>
      <c r="G200" s="44" t="s">
        <v>997</v>
      </c>
      <c r="H200" s="45" t="s">
        <v>1637</v>
      </c>
      <c r="I200" s="45" t="s">
        <v>1607</v>
      </c>
      <c r="J200" s="45" t="s">
        <v>277</v>
      </c>
      <c r="K200" s="45"/>
      <c r="L200" s="67" t="s">
        <v>1481</v>
      </c>
    </row>
    <row r="201" spans="1:12" ht="96" x14ac:dyDescent="0.35">
      <c r="A201" s="44">
        <v>198</v>
      </c>
      <c r="B201" s="44" t="s">
        <v>1463</v>
      </c>
      <c r="C201" s="44" t="s">
        <v>1007</v>
      </c>
      <c r="D201" s="44" t="s">
        <v>1484</v>
      </c>
      <c r="E201" s="44" t="s">
        <v>1491</v>
      </c>
      <c r="F201" s="44" t="s">
        <v>1488</v>
      </c>
      <c r="G201" s="44" t="s">
        <v>997</v>
      </c>
      <c r="H201" s="45" t="s">
        <v>1637</v>
      </c>
      <c r="I201" s="45" t="s">
        <v>1608</v>
      </c>
      <c r="J201" s="45" t="s">
        <v>277</v>
      </c>
      <c r="K201" s="45"/>
      <c r="L201" s="67" t="s">
        <v>1481</v>
      </c>
    </row>
    <row r="202" spans="1:12" ht="132" x14ac:dyDescent="0.35">
      <c r="A202" s="44">
        <v>199</v>
      </c>
      <c r="B202" s="44" t="s">
        <v>1463</v>
      </c>
      <c r="C202" s="44" t="s">
        <v>1007</v>
      </c>
      <c r="D202" s="44" t="s">
        <v>1029</v>
      </c>
      <c r="E202" s="44" t="s">
        <v>1492</v>
      </c>
      <c r="F202" s="44" t="s">
        <v>1493</v>
      </c>
      <c r="G202" s="44" t="s">
        <v>997</v>
      </c>
      <c r="H202" s="45" t="s">
        <v>1637</v>
      </c>
      <c r="I202" s="45" t="s">
        <v>1609</v>
      </c>
      <c r="J202" s="45" t="s">
        <v>277</v>
      </c>
      <c r="K202" s="45"/>
      <c r="L202" s="67" t="s">
        <v>1494</v>
      </c>
    </row>
    <row r="203" spans="1:12" ht="132" x14ac:dyDescent="0.35">
      <c r="A203" s="44">
        <v>200</v>
      </c>
      <c r="B203" s="44" t="s">
        <v>1463</v>
      </c>
      <c r="C203" s="44" t="s">
        <v>1007</v>
      </c>
      <c r="D203" s="44" t="s">
        <v>1029</v>
      </c>
      <c r="E203" s="44" t="s">
        <v>1495</v>
      </c>
      <c r="F203" s="44" t="s">
        <v>1496</v>
      </c>
      <c r="G203" s="44" t="s">
        <v>997</v>
      </c>
      <c r="H203" s="45" t="s">
        <v>1637</v>
      </c>
      <c r="I203" s="45" t="s">
        <v>1610</v>
      </c>
      <c r="J203" s="45" t="s">
        <v>277</v>
      </c>
      <c r="K203" s="45"/>
      <c r="L203" s="67" t="s">
        <v>1494</v>
      </c>
    </row>
    <row r="204" spans="1:12" ht="132" x14ac:dyDescent="0.35">
      <c r="A204" s="44">
        <v>201</v>
      </c>
      <c r="B204" s="44" t="s">
        <v>1463</v>
      </c>
      <c r="C204" s="44" t="s">
        <v>1007</v>
      </c>
      <c r="D204" s="44" t="s">
        <v>1029</v>
      </c>
      <c r="E204" s="44" t="s">
        <v>1497</v>
      </c>
      <c r="F204" s="44" t="s">
        <v>1498</v>
      </c>
      <c r="G204" s="44" t="s">
        <v>997</v>
      </c>
      <c r="H204" s="45" t="s">
        <v>1637</v>
      </c>
      <c r="I204" s="45" t="s">
        <v>1611</v>
      </c>
      <c r="J204" s="45" t="s">
        <v>277</v>
      </c>
      <c r="K204" s="45"/>
      <c r="L204" s="67" t="s">
        <v>1494</v>
      </c>
    </row>
    <row r="205" spans="1:12" ht="132" x14ac:dyDescent="0.35">
      <c r="A205" s="44">
        <v>202</v>
      </c>
      <c r="B205" s="44" t="s">
        <v>1463</v>
      </c>
      <c r="C205" s="44" t="s">
        <v>1007</v>
      </c>
      <c r="D205" s="44" t="s">
        <v>1029</v>
      </c>
      <c r="E205" s="44" t="s">
        <v>1499</v>
      </c>
      <c r="F205" s="44" t="s">
        <v>1500</v>
      </c>
      <c r="G205" s="44" t="s">
        <v>997</v>
      </c>
      <c r="H205" s="45" t="s">
        <v>1637</v>
      </c>
      <c r="I205" s="45" t="s">
        <v>1612</v>
      </c>
      <c r="J205" s="45" t="s">
        <v>277</v>
      </c>
      <c r="K205" s="45"/>
      <c r="L205" s="67" t="s">
        <v>1494</v>
      </c>
    </row>
    <row r="206" spans="1:12" ht="132" x14ac:dyDescent="0.35">
      <c r="A206" s="44">
        <v>203</v>
      </c>
      <c r="B206" s="44" t="s">
        <v>1463</v>
      </c>
      <c r="C206" s="44" t="s">
        <v>1007</v>
      </c>
      <c r="D206" s="44" t="s">
        <v>1029</v>
      </c>
      <c r="E206" s="44" t="s">
        <v>1501</v>
      </c>
      <c r="F206" s="44" t="s">
        <v>1496</v>
      </c>
      <c r="G206" s="44" t="s">
        <v>997</v>
      </c>
      <c r="H206" s="45" t="s">
        <v>1637</v>
      </c>
      <c r="I206" s="45" t="s">
        <v>1614</v>
      </c>
      <c r="J206" s="45" t="s">
        <v>277</v>
      </c>
      <c r="K206" s="45"/>
      <c r="L206" s="67" t="s">
        <v>1494</v>
      </c>
    </row>
    <row r="207" spans="1:12" ht="132" x14ac:dyDescent="0.35">
      <c r="A207" s="44">
        <v>204</v>
      </c>
      <c r="B207" s="44" t="s">
        <v>1463</v>
      </c>
      <c r="C207" s="44" t="s">
        <v>1007</v>
      </c>
      <c r="D207" s="44" t="s">
        <v>1029</v>
      </c>
      <c r="E207" s="44" t="s">
        <v>1502</v>
      </c>
      <c r="F207" s="44" t="s">
        <v>1498</v>
      </c>
      <c r="G207" s="44" t="s">
        <v>997</v>
      </c>
      <c r="H207" s="45" t="s">
        <v>1637</v>
      </c>
      <c r="I207" s="45" t="s">
        <v>1615</v>
      </c>
      <c r="J207" s="45" t="s">
        <v>277</v>
      </c>
      <c r="K207" s="45"/>
      <c r="L207" s="67" t="s">
        <v>1494</v>
      </c>
    </row>
    <row r="208" spans="1:12" ht="132" x14ac:dyDescent="0.35">
      <c r="A208" s="44">
        <v>205</v>
      </c>
      <c r="B208" s="44" t="s">
        <v>1463</v>
      </c>
      <c r="C208" s="44" t="s">
        <v>1007</v>
      </c>
      <c r="D208" s="44" t="s">
        <v>1029</v>
      </c>
      <c r="E208" s="44" t="s">
        <v>1503</v>
      </c>
      <c r="F208" s="44" t="s">
        <v>1504</v>
      </c>
      <c r="G208" s="44" t="s">
        <v>997</v>
      </c>
      <c r="H208" s="45" t="s">
        <v>1637</v>
      </c>
      <c r="I208" s="45" t="s">
        <v>1616</v>
      </c>
      <c r="J208" s="45" t="s">
        <v>277</v>
      </c>
      <c r="K208" s="45"/>
      <c r="L208" s="67" t="s">
        <v>1494</v>
      </c>
    </row>
    <row r="209" spans="1:12" ht="132" x14ac:dyDescent="0.35">
      <c r="A209" s="44">
        <v>206</v>
      </c>
      <c r="B209" s="44" t="s">
        <v>1463</v>
      </c>
      <c r="C209" s="44" t="s">
        <v>1007</v>
      </c>
      <c r="D209" s="44" t="s">
        <v>1029</v>
      </c>
      <c r="E209" s="44" t="s">
        <v>1505</v>
      </c>
      <c r="F209" s="44" t="s">
        <v>1496</v>
      </c>
      <c r="G209" s="44" t="s">
        <v>997</v>
      </c>
      <c r="H209" s="45" t="s">
        <v>1637</v>
      </c>
      <c r="I209" s="45" t="s">
        <v>1613</v>
      </c>
      <c r="J209" s="45" t="s">
        <v>277</v>
      </c>
      <c r="K209" s="45"/>
      <c r="L209" s="67" t="s">
        <v>1494</v>
      </c>
    </row>
    <row r="210" spans="1:12" ht="132" x14ac:dyDescent="0.35">
      <c r="A210" s="44">
        <v>207</v>
      </c>
      <c r="B210" s="44" t="s">
        <v>1463</v>
      </c>
      <c r="C210" s="44" t="s">
        <v>1007</v>
      </c>
      <c r="D210" s="44" t="s">
        <v>1029</v>
      </c>
      <c r="E210" s="44" t="s">
        <v>1506</v>
      </c>
      <c r="F210" s="44" t="s">
        <v>1498</v>
      </c>
      <c r="G210" s="44" t="s">
        <v>997</v>
      </c>
      <c r="H210" s="45" t="s">
        <v>1637</v>
      </c>
      <c r="I210" s="45" t="s">
        <v>1617</v>
      </c>
      <c r="J210" s="45" t="s">
        <v>277</v>
      </c>
      <c r="K210" s="45"/>
      <c r="L210" s="67" t="s">
        <v>1494</v>
      </c>
    </row>
    <row r="211" spans="1:12" ht="84" x14ac:dyDescent="0.35">
      <c r="A211" s="44">
        <v>208</v>
      </c>
      <c r="B211" s="44" t="s">
        <v>1463</v>
      </c>
      <c r="C211" s="44" t="s">
        <v>1007</v>
      </c>
      <c r="D211" s="44" t="s">
        <v>1212</v>
      </c>
      <c r="E211" s="44" t="s">
        <v>1507</v>
      </c>
      <c r="F211" s="44" t="s">
        <v>1508</v>
      </c>
      <c r="G211" s="44" t="s">
        <v>997</v>
      </c>
      <c r="H211" s="45" t="s">
        <v>1637</v>
      </c>
      <c r="I211" s="45" t="s">
        <v>1618</v>
      </c>
      <c r="J211" s="45" t="s">
        <v>277</v>
      </c>
      <c r="K211" s="45"/>
      <c r="L211" s="67" t="s">
        <v>1509</v>
      </c>
    </row>
    <row r="212" spans="1:12" ht="84" x14ac:dyDescent="0.35">
      <c r="A212" s="44">
        <v>209</v>
      </c>
      <c r="B212" s="44" t="s">
        <v>1463</v>
      </c>
      <c r="C212" s="44" t="s">
        <v>1007</v>
      </c>
      <c r="D212" s="44" t="s">
        <v>1212</v>
      </c>
      <c r="E212" s="44" t="s">
        <v>1510</v>
      </c>
      <c r="F212" s="44" t="s">
        <v>1511</v>
      </c>
      <c r="G212" s="44" t="s">
        <v>997</v>
      </c>
      <c r="H212" s="45" t="s">
        <v>1637</v>
      </c>
      <c r="I212" s="45" t="s">
        <v>1619</v>
      </c>
      <c r="J212" s="45" t="s">
        <v>277</v>
      </c>
      <c r="K212" s="45"/>
      <c r="L212" s="67" t="s">
        <v>1509</v>
      </c>
    </row>
    <row r="213" spans="1:12" ht="96" x14ac:dyDescent="0.35">
      <c r="A213" s="44">
        <v>210</v>
      </c>
      <c r="B213" s="44" t="s">
        <v>1463</v>
      </c>
      <c r="C213" s="44" t="s">
        <v>1007</v>
      </c>
      <c r="D213" s="44" t="s">
        <v>1066</v>
      </c>
      <c r="E213" s="44" t="s">
        <v>1512</v>
      </c>
      <c r="F213" s="44" t="s">
        <v>1513</v>
      </c>
      <c r="G213" s="44" t="s">
        <v>997</v>
      </c>
      <c r="H213" s="45" t="s">
        <v>1637</v>
      </c>
      <c r="I213" s="45" t="s">
        <v>1620</v>
      </c>
      <c r="J213" s="45" t="s">
        <v>277</v>
      </c>
      <c r="K213" s="45"/>
      <c r="L213" s="67" t="s">
        <v>1481</v>
      </c>
    </row>
    <row r="214" spans="1:12" ht="96" x14ac:dyDescent="0.35">
      <c r="A214" s="44">
        <v>211</v>
      </c>
      <c r="B214" s="44" t="s">
        <v>1463</v>
      </c>
      <c r="C214" s="44" t="s">
        <v>1007</v>
      </c>
      <c r="D214" s="44" t="s">
        <v>1066</v>
      </c>
      <c r="E214" s="44" t="s">
        <v>1514</v>
      </c>
      <c r="F214" s="44" t="s">
        <v>1515</v>
      </c>
      <c r="G214" s="44" t="s">
        <v>997</v>
      </c>
      <c r="H214" s="45" t="s">
        <v>1637</v>
      </c>
      <c r="I214" s="45" t="s">
        <v>1621</v>
      </c>
      <c r="J214" s="45" t="s">
        <v>277</v>
      </c>
      <c r="K214" s="45"/>
      <c r="L214" s="67" t="s">
        <v>1481</v>
      </c>
    </row>
    <row r="215" spans="1:12" ht="96" x14ac:dyDescent="0.35">
      <c r="A215" s="44">
        <v>212</v>
      </c>
      <c r="B215" s="44" t="s">
        <v>1463</v>
      </c>
      <c r="C215" s="44" t="s">
        <v>1007</v>
      </c>
      <c r="D215" s="44" t="s">
        <v>1066</v>
      </c>
      <c r="E215" s="44" t="s">
        <v>1516</v>
      </c>
      <c r="F215" s="44" t="s">
        <v>1517</v>
      </c>
      <c r="G215" s="44" t="s">
        <v>997</v>
      </c>
      <c r="H215" s="45" t="s">
        <v>1637</v>
      </c>
      <c r="I215" s="45" t="s">
        <v>1622</v>
      </c>
      <c r="J215" s="45" t="s">
        <v>277</v>
      </c>
      <c r="K215" s="45"/>
      <c r="L215" s="67" t="s">
        <v>1481</v>
      </c>
    </row>
    <row r="216" spans="1:12" ht="96" x14ac:dyDescent="0.35">
      <c r="A216" s="44">
        <v>213</v>
      </c>
      <c r="B216" s="44" t="s">
        <v>1463</v>
      </c>
      <c r="C216" s="44" t="s">
        <v>1007</v>
      </c>
      <c r="D216" s="44" t="s">
        <v>1066</v>
      </c>
      <c r="E216" s="44" t="s">
        <v>1518</v>
      </c>
      <c r="F216" s="44" t="s">
        <v>1519</v>
      </c>
      <c r="G216" s="44" t="s">
        <v>997</v>
      </c>
      <c r="H216" s="45" t="s">
        <v>1637</v>
      </c>
      <c r="I216" s="45" t="s">
        <v>1623</v>
      </c>
      <c r="J216" s="45" t="s">
        <v>277</v>
      </c>
      <c r="K216" s="45"/>
      <c r="L216" s="67" t="s">
        <v>1481</v>
      </c>
    </row>
    <row r="217" spans="1:12" ht="96" x14ac:dyDescent="0.35">
      <c r="A217" s="44">
        <v>214</v>
      </c>
      <c r="B217" s="44" t="s">
        <v>1463</v>
      </c>
      <c r="C217" s="44" t="s">
        <v>1007</v>
      </c>
      <c r="D217" s="44" t="s">
        <v>1066</v>
      </c>
      <c r="E217" s="44" t="s">
        <v>1520</v>
      </c>
      <c r="F217" s="44" t="s">
        <v>1515</v>
      </c>
      <c r="G217" s="44" t="s">
        <v>997</v>
      </c>
      <c r="H217" s="45" t="s">
        <v>1637</v>
      </c>
      <c r="I217" s="45" t="s">
        <v>1624</v>
      </c>
      <c r="J217" s="45" t="s">
        <v>277</v>
      </c>
      <c r="K217" s="45"/>
      <c r="L217" s="67" t="s">
        <v>1481</v>
      </c>
    </row>
    <row r="218" spans="1:12" ht="96" x14ac:dyDescent="0.35">
      <c r="A218" s="44">
        <v>215</v>
      </c>
      <c r="B218" s="44" t="s">
        <v>1463</v>
      </c>
      <c r="C218" s="44" t="s">
        <v>1007</v>
      </c>
      <c r="D218" s="44" t="s">
        <v>1066</v>
      </c>
      <c r="E218" s="44" t="s">
        <v>1521</v>
      </c>
      <c r="F218" s="44" t="s">
        <v>1517</v>
      </c>
      <c r="G218" s="44" t="s">
        <v>997</v>
      </c>
      <c r="H218" s="45" t="s">
        <v>1637</v>
      </c>
      <c r="I218" s="45" t="s">
        <v>1625</v>
      </c>
      <c r="J218" s="45" t="s">
        <v>277</v>
      </c>
      <c r="K218" s="45"/>
      <c r="L218" s="67" t="s">
        <v>1481</v>
      </c>
    </row>
    <row r="219" spans="1:12" ht="96" x14ac:dyDescent="0.35">
      <c r="A219" s="44">
        <v>216</v>
      </c>
      <c r="B219" s="44" t="s">
        <v>1463</v>
      </c>
      <c r="C219" s="44" t="s">
        <v>1007</v>
      </c>
      <c r="D219" s="44" t="s">
        <v>1522</v>
      </c>
      <c r="E219" s="44" t="s">
        <v>1523</v>
      </c>
      <c r="F219" s="44"/>
      <c r="G219" s="44" t="s">
        <v>997</v>
      </c>
      <c r="H219" s="45" t="s">
        <v>1637</v>
      </c>
      <c r="I219" s="45" t="s">
        <v>1626</v>
      </c>
      <c r="J219" s="45" t="s">
        <v>277</v>
      </c>
      <c r="K219" s="45"/>
      <c r="L219" s="67" t="s">
        <v>1481</v>
      </c>
    </row>
    <row r="220" spans="1:12" ht="96" x14ac:dyDescent="0.35">
      <c r="A220" s="44">
        <v>217</v>
      </c>
      <c r="B220" s="44" t="s">
        <v>1463</v>
      </c>
      <c r="C220" s="44" t="s">
        <v>1007</v>
      </c>
      <c r="D220" s="44" t="s">
        <v>1522</v>
      </c>
      <c r="E220" s="44" t="s">
        <v>1524</v>
      </c>
      <c r="F220" s="44" t="s">
        <v>1525</v>
      </c>
      <c r="G220" s="44" t="s">
        <v>997</v>
      </c>
      <c r="H220" s="45" t="s">
        <v>1637</v>
      </c>
      <c r="I220" s="45" t="s">
        <v>1627</v>
      </c>
      <c r="J220" s="45" t="s">
        <v>277</v>
      </c>
      <c r="K220" s="45"/>
      <c r="L220" s="67" t="s">
        <v>1481</v>
      </c>
    </row>
    <row r="221" spans="1:12" ht="108" x14ac:dyDescent="0.35">
      <c r="A221" s="44">
        <v>218</v>
      </c>
      <c r="B221" s="44" t="s">
        <v>1463</v>
      </c>
      <c r="C221" s="44" t="s">
        <v>1007</v>
      </c>
      <c r="D221" s="44" t="s">
        <v>1526</v>
      </c>
      <c r="E221" s="44" t="s">
        <v>1527</v>
      </c>
      <c r="F221" s="44" t="s">
        <v>1528</v>
      </c>
      <c r="G221" s="44" t="s">
        <v>997</v>
      </c>
      <c r="H221" s="45" t="s">
        <v>1637</v>
      </c>
      <c r="I221" s="45" t="s">
        <v>1628</v>
      </c>
      <c r="J221" s="45" t="s">
        <v>277</v>
      </c>
      <c r="K221" s="45"/>
      <c r="L221" s="67" t="s">
        <v>1529</v>
      </c>
    </row>
    <row r="222" spans="1:12" ht="108" x14ac:dyDescent="0.35">
      <c r="A222" s="44">
        <v>219</v>
      </c>
      <c r="B222" s="44" t="s">
        <v>1463</v>
      </c>
      <c r="C222" s="44" t="s">
        <v>1007</v>
      </c>
      <c r="D222" s="44" t="s">
        <v>1526</v>
      </c>
      <c r="E222" s="44" t="s">
        <v>1530</v>
      </c>
      <c r="F222" s="44" t="s">
        <v>1531</v>
      </c>
      <c r="G222" s="44" t="s">
        <v>997</v>
      </c>
      <c r="H222" s="45" t="s">
        <v>1637</v>
      </c>
      <c r="I222" s="45" t="s">
        <v>1629</v>
      </c>
      <c r="J222" s="45" t="s">
        <v>277</v>
      </c>
      <c r="K222" s="45"/>
      <c r="L222" s="67" t="s">
        <v>1529</v>
      </c>
    </row>
    <row r="223" spans="1:12" ht="108" x14ac:dyDescent="0.35">
      <c r="A223" s="44">
        <v>220</v>
      </c>
      <c r="B223" s="44" t="s">
        <v>1463</v>
      </c>
      <c r="C223" s="44" t="s">
        <v>1007</v>
      </c>
      <c r="D223" s="44" t="s">
        <v>1526</v>
      </c>
      <c r="E223" s="44" t="s">
        <v>1532</v>
      </c>
      <c r="F223" s="44" t="s">
        <v>1533</v>
      </c>
      <c r="G223" s="44" t="s">
        <v>997</v>
      </c>
      <c r="H223" s="45" t="s">
        <v>1637</v>
      </c>
      <c r="I223" s="45" t="s">
        <v>1630</v>
      </c>
      <c r="J223" s="45" t="s">
        <v>277</v>
      </c>
      <c r="K223" s="45"/>
      <c r="L223" s="67" t="s">
        <v>1529</v>
      </c>
    </row>
    <row r="224" spans="1:12" ht="108" x14ac:dyDescent="0.35">
      <c r="A224" s="44">
        <v>221</v>
      </c>
      <c r="B224" s="44" t="s">
        <v>1463</v>
      </c>
      <c r="C224" s="44" t="s">
        <v>1007</v>
      </c>
      <c r="D224" s="44" t="s">
        <v>1526</v>
      </c>
      <c r="E224" s="44" t="s">
        <v>1534</v>
      </c>
      <c r="F224" s="44" t="s">
        <v>1535</v>
      </c>
      <c r="G224" s="44" t="s">
        <v>997</v>
      </c>
      <c r="H224" s="45" t="s">
        <v>1637</v>
      </c>
      <c r="I224" s="45" t="s">
        <v>1631</v>
      </c>
      <c r="J224" s="45" t="s">
        <v>277</v>
      </c>
      <c r="K224" s="45"/>
      <c r="L224" s="67" t="s">
        <v>1529</v>
      </c>
    </row>
    <row r="225" spans="1:12" ht="108" x14ac:dyDescent="0.35">
      <c r="A225" s="44">
        <v>222</v>
      </c>
      <c r="B225" s="44" t="s">
        <v>1463</v>
      </c>
      <c r="C225" s="44" t="s">
        <v>1007</v>
      </c>
      <c r="D225" s="44" t="s">
        <v>1526</v>
      </c>
      <c r="E225" s="44" t="s">
        <v>1536</v>
      </c>
      <c r="F225" s="44" t="s">
        <v>1531</v>
      </c>
      <c r="G225" s="44" t="s">
        <v>997</v>
      </c>
      <c r="H225" s="45" t="s">
        <v>1637</v>
      </c>
      <c r="I225" s="45" t="s">
        <v>1632</v>
      </c>
      <c r="J225" s="45" t="s">
        <v>277</v>
      </c>
      <c r="K225" s="45"/>
      <c r="L225" s="67" t="s">
        <v>1529</v>
      </c>
    </row>
    <row r="226" spans="1:12" ht="108" x14ac:dyDescent="0.35">
      <c r="A226" s="44">
        <v>223</v>
      </c>
      <c r="B226" s="44" t="s">
        <v>1463</v>
      </c>
      <c r="C226" s="44" t="s">
        <v>1007</v>
      </c>
      <c r="D226" s="44" t="s">
        <v>1526</v>
      </c>
      <c r="E226" s="44" t="s">
        <v>1537</v>
      </c>
      <c r="F226" s="44" t="s">
        <v>1533</v>
      </c>
      <c r="G226" s="44" t="s">
        <v>997</v>
      </c>
      <c r="H226" s="45" t="s">
        <v>1637</v>
      </c>
      <c r="I226" s="45" t="s">
        <v>1633</v>
      </c>
      <c r="J226" s="45" t="s">
        <v>277</v>
      </c>
      <c r="K226" s="45"/>
      <c r="L226" s="67" t="s">
        <v>1529</v>
      </c>
    </row>
    <row r="227" spans="1:12" ht="108" x14ac:dyDescent="0.35">
      <c r="A227" s="44">
        <v>224</v>
      </c>
      <c r="B227" s="44" t="s">
        <v>1463</v>
      </c>
      <c r="C227" s="44" t="s">
        <v>1007</v>
      </c>
      <c r="D227" s="44" t="s">
        <v>1526</v>
      </c>
      <c r="E227" s="44" t="s">
        <v>1534</v>
      </c>
      <c r="F227" s="44" t="s">
        <v>1538</v>
      </c>
      <c r="G227" s="44" t="s">
        <v>997</v>
      </c>
      <c r="H227" s="45" t="s">
        <v>1637</v>
      </c>
      <c r="I227" s="45" t="s">
        <v>1634</v>
      </c>
      <c r="J227" s="45" t="s">
        <v>277</v>
      </c>
      <c r="K227" s="45"/>
      <c r="L227" s="67" t="s">
        <v>1529</v>
      </c>
    </row>
    <row r="228" spans="1:12" ht="108" x14ac:dyDescent="0.35">
      <c r="A228" s="44">
        <v>225</v>
      </c>
      <c r="B228" s="44" t="s">
        <v>1463</v>
      </c>
      <c r="C228" s="44" t="s">
        <v>1007</v>
      </c>
      <c r="D228" s="44" t="s">
        <v>1526</v>
      </c>
      <c r="E228" s="44" t="s">
        <v>1539</v>
      </c>
      <c r="F228" s="44" t="s">
        <v>1531</v>
      </c>
      <c r="G228" s="44" t="s">
        <v>997</v>
      </c>
      <c r="H228" s="45" t="s">
        <v>1637</v>
      </c>
      <c r="I228" s="45" t="s">
        <v>1635</v>
      </c>
      <c r="J228" s="45" t="s">
        <v>277</v>
      </c>
      <c r="K228" s="45"/>
      <c r="L228" s="67" t="s">
        <v>1529</v>
      </c>
    </row>
    <row r="229" spans="1:12" ht="108" x14ac:dyDescent="0.35">
      <c r="A229" s="44">
        <v>226</v>
      </c>
      <c r="B229" s="44" t="s">
        <v>1463</v>
      </c>
      <c r="C229" s="44" t="s">
        <v>1007</v>
      </c>
      <c r="D229" s="44" t="s">
        <v>1526</v>
      </c>
      <c r="E229" s="44" t="s">
        <v>1540</v>
      </c>
      <c r="F229" s="44" t="s">
        <v>1533</v>
      </c>
      <c r="G229" s="44" t="s">
        <v>997</v>
      </c>
      <c r="H229" s="45" t="s">
        <v>1637</v>
      </c>
      <c r="I229" s="45" t="s">
        <v>1636</v>
      </c>
      <c r="J229" s="45" t="s">
        <v>277</v>
      </c>
      <c r="K229" s="45"/>
      <c r="L229" s="67" t="s">
        <v>1529</v>
      </c>
    </row>
    <row r="230" spans="1:12" ht="18" hidden="1" customHeight="1" x14ac:dyDescent="0.35">
      <c r="A230" s="64"/>
      <c r="B230" s="64"/>
      <c r="C230" s="64"/>
      <c r="D230" s="64"/>
      <c r="E230" s="64"/>
      <c r="F230" s="64"/>
      <c r="G230" s="64"/>
      <c r="H230" s="65"/>
    </row>
    <row r="231" spans="1:12" ht="18" hidden="1" customHeight="1" x14ac:dyDescent="0.35">
      <c r="A231" s="44"/>
      <c r="B231" s="44"/>
      <c r="C231" s="44"/>
      <c r="D231" s="44"/>
      <c r="E231" s="44"/>
      <c r="F231" s="44"/>
      <c r="G231" s="44"/>
      <c r="H231" s="45"/>
    </row>
    <row r="232" spans="1:12" ht="18" hidden="1" customHeight="1" x14ac:dyDescent="0.35">
      <c r="A232" s="44"/>
      <c r="B232" s="44"/>
      <c r="C232" s="44"/>
      <c r="D232" s="44"/>
      <c r="E232" s="44"/>
      <c r="F232" s="44"/>
      <c r="G232" s="44"/>
      <c r="H232" s="45"/>
    </row>
    <row r="233" spans="1:12" ht="18" hidden="1" customHeight="1" x14ac:dyDescent="0.35">
      <c r="A233" s="44"/>
      <c r="B233" s="44"/>
      <c r="C233" s="44"/>
      <c r="D233" s="44"/>
      <c r="E233" s="44"/>
      <c r="F233" s="44"/>
      <c r="G233" s="44"/>
      <c r="H233" s="45"/>
    </row>
    <row r="234" spans="1:12" ht="18" hidden="1" customHeight="1" x14ac:dyDescent="0.35">
      <c r="A234" s="44"/>
      <c r="B234" s="44"/>
      <c r="C234" s="44"/>
      <c r="D234" s="44"/>
      <c r="E234" s="44"/>
      <c r="F234" s="44"/>
      <c r="G234" s="44"/>
      <c r="H234" s="45"/>
    </row>
    <row r="235" spans="1:12" ht="18" hidden="1" customHeight="1" x14ac:dyDescent="0.35">
      <c r="A235" s="44"/>
      <c r="B235" s="44"/>
      <c r="C235" s="44"/>
      <c r="D235" s="44"/>
      <c r="E235" s="44"/>
      <c r="F235" s="44"/>
      <c r="G235" s="44"/>
      <c r="H235" s="45"/>
    </row>
    <row r="236" spans="1:12" ht="18" hidden="1" customHeight="1" x14ac:dyDescent="0.35">
      <c r="A236" s="44"/>
      <c r="B236" s="44"/>
      <c r="C236" s="44"/>
      <c r="D236" s="44" t="s">
        <v>1541</v>
      </c>
      <c r="E236" s="44" t="s">
        <v>1542</v>
      </c>
      <c r="F236" s="44"/>
      <c r="G236" s="44"/>
      <c r="H236" s="45"/>
    </row>
    <row r="237" spans="1:12" ht="18" hidden="1" customHeight="1" x14ac:dyDescent="0.35">
      <c r="A237" s="44"/>
      <c r="B237" s="44"/>
      <c r="C237" s="44"/>
      <c r="D237" s="44" t="s">
        <v>1300</v>
      </c>
      <c r="E237" s="44">
        <v>77</v>
      </c>
      <c r="F237" s="44"/>
      <c r="G237" s="44"/>
      <c r="H237" s="45"/>
    </row>
    <row r="238" spans="1:12" ht="18" hidden="1" customHeight="1" x14ac:dyDescent="0.35">
      <c r="A238" s="44"/>
      <c r="B238" s="44"/>
      <c r="C238" s="44"/>
      <c r="D238" s="44" t="s">
        <v>1463</v>
      </c>
      <c r="E238" s="44">
        <v>40</v>
      </c>
      <c r="F238" s="44"/>
      <c r="G238" s="44"/>
      <c r="H238" s="45"/>
    </row>
    <row r="239" spans="1:12" ht="18" hidden="1" customHeight="1" x14ac:dyDescent="0.35">
      <c r="A239" s="44"/>
      <c r="B239" s="44"/>
      <c r="C239" s="44"/>
      <c r="D239" s="44" t="s">
        <v>994</v>
      </c>
      <c r="E239" s="44">
        <v>90</v>
      </c>
      <c r="F239" s="44"/>
      <c r="G239" s="44"/>
      <c r="H239" s="45"/>
    </row>
    <row r="240" spans="1:12" ht="18" hidden="1" customHeight="1" x14ac:dyDescent="0.35">
      <c r="A240" s="44"/>
      <c r="B240" s="44"/>
      <c r="C240" s="44"/>
      <c r="D240" s="44" t="s">
        <v>1256</v>
      </c>
      <c r="E240" s="44">
        <v>19</v>
      </c>
      <c r="F240" s="44"/>
      <c r="G240" s="44"/>
      <c r="H240" s="45"/>
    </row>
    <row r="241" spans="1:8" ht="18" hidden="1" customHeight="1" x14ac:dyDescent="0.35">
      <c r="A241" s="44"/>
      <c r="B241" s="44"/>
      <c r="C241" s="44"/>
      <c r="D241" s="44" t="s">
        <v>1543</v>
      </c>
      <c r="E241" s="44">
        <v>226</v>
      </c>
      <c r="F241" s="44"/>
      <c r="G241" s="44"/>
      <c r="H241" s="45"/>
    </row>
    <row r="247" spans="1:8" x14ac:dyDescent="0.35">
      <c r="A247" t="s">
        <v>288</v>
      </c>
    </row>
  </sheetData>
  <autoFilter ref="A3:L229" xr:uid="{00000000-0001-0000-0800-000000000000}">
    <filterColumn colId="1">
      <filters>
        <filter val="PEMT"/>
        <filter val="PRMS"/>
      </filters>
    </filterColumn>
  </autoFilter>
  <dataValidations count="6">
    <dataValidation type="list" allowBlank="1" showInputMessage="1" showErrorMessage="1" errorTitle="Invalid entry" error="Allowed: RMS, EMT, RMS/EMT" promptTitle="Valid options" prompt="Select simulation domain: RMS (PSS/E) or EMT (PSCAD)" sqref="G4:G241" xr:uid="{00000000-0002-0000-0800-000000000000}">
      <formula1>"RMS,EMT,RMS/EMT"</formula1>
      <formula2>0</formula2>
    </dataValidation>
    <dataValidation type="custom" allowBlank="1" showInputMessage="1" showErrorMessage="1" errorTitle="File name missing" error="Enter the PDF result file name, e.g. &quot;TC_001_RMS_Results.pdf&quot;" promptTitle="PDF Result File" prompt="Format: TC_&lt;NNN&gt;_&lt;RMS/EMT&gt;_Results.pdf" sqref="H4:H241" xr:uid="{00000000-0002-0000-0800-000001000000}">
      <formula1>LEN(H4)&gt;3</formula1>
      <formula2>0</formula2>
    </dataValidation>
    <dataValidation type="list" allowBlank="1" showInputMessage="1" showErrorMessage="1" errorTitle="Invalid entry" error="Allowed: UIBR, USVG, P" promptTitle="Valid options" prompt="Test level: UIBR = unit IBR, USVG = unit SVG, P = plant" sqref="B4:B241" xr:uid="{00000000-0002-0000-0800-000002000000}">
      <formula1>"UIBR,USVG,P"</formula1>
      <formula2>0</formula2>
    </dataValidation>
    <dataValidation type="list" allowBlank="1" showInputMessage="1" showErrorMessage="1" promptTitle="Valid Options" prompt="Enter Yes / No" sqref="J4:J229" xr:uid="{0D209DF1-1844-47D2-BB22-958C31D20131}">
      <formula1>"Yes, No"</formula1>
    </dataValidation>
    <dataValidation allowBlank="1" showInputMessage="1" showErrorMessage="1" promptTitle="Case Details" prompt="Record any case-specific explanations(Optional)" sqref="K5:K229" xr:uid="{A90498CE-5077-4145-BEA9-69E75D324C9C}"/>
    <dataValidation allowBlank="1" showInputMessage="1" showErrorMessage="1" promptTitle="Case Details" prompt="Record case-specific explanations(Optional)" sqref="K4" xr:uid="{B95BD98B-6B08-4C63-B028-F70DC6D4527A}"/>
  </dataValidations>
  <pageMargins left="0.75" right="0.75" top="1" bottom="1" header="0.511811023622047" footer="0.511811023622047"/>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F25"/>
  <sheetViews>
    <sheetView view="pageBreakPreview" zoomScale="70" zoomScaleNormal="100" zoomScaleSheetLayoutView="70" workbookViewId="0">
      <selection activeCell="E6" sqref="E6"/>
    </sheetView>
  </sheetViews>
  <sheetFormatPr defaultColWidth="8.6328125" defaultRowHeight="14.5" x14ac:dyDescent="0.35"/>
  <cols>
    <col min="2" max="2" width="11" customWidth="1"/>
    <col min="3" max="3" width="86.453125" customWidth="1"/>
    <col min="4" max="4" width="13.453125" customWidth="1"/>
    <col min="5" max="5" width="63" customWidth="1"/>
    <col min="6" max="6" width="60" customWidth="1"/>
  </cols>
  <sheetData>
    <row r="1" spans="1:6" x14ac:dyDescent="0.35">
      <c r="A1" s="57" t="s">
        <v>1544</v>
      </c>
      <c r="B1" s="57"/>
    </row>
    <row r="2" spans="1:6" x14ac:dyDescent="0.35">
      <c r="A2" s="58" t="s">
        <v>291</v>
      </c>
      <c r="B2" s="58" t="s">
        <v>105</v>
      </c>
      <c r="C2" s="58" t="s">
        <v>1545</v>
      </c>
      <c r="D2" s="59" t="s">
        <v>276</v>
      </c>
      <c r="E2" s="59" t="s">
        <v>68</v>
      </c>
      <c r="F2" s="80" t="s">
        <v>212</v>
      </c>
    </row>
    <row r="3" spans="1:6" ht="36" x14ac:dyDescent="0.35">
      <c r="A3" s="44">
        <v>1</v>
      </c>
      <c r="B3" s="44" t="s">
        <v>1546</v>
      </c>
      <c r="C3" s="44" t="s">
        <v>1547</v>
      </c>
      <c r="D3" s="79" t="s">
        <v>277</v>
      </c>
      <c r="E3" s="45"/>
      <c r="F3" s="46" t="s">
        <v>1548</v>
      </c>
    </row>
    <row r="4" spans="1:6" s="95" customFormat="1" ht="36" x14ac:dyDescent="0.35">
      <c r="A4" s="113"/>
      <c r="B4" s="113" t="s">
        <v>1546</v>
      </c>
      <c r="C4" s="113" t="s">
        <v>1549</v>
      </c>
      <c r="D4" s="128" t="s">
        <v>277</v>
      </c>
      <c r="E4" s="126"/>
      <c r="F4" s="127" t="s">
        <v>1550</v>
      </c>
    </row>
    <row r="5" spans="1:6" ht="36" x14ac:dyDescent="0.35">
      <c r="A5" s="44">
        <f>A3+1</f>
        <v>2</v>
      </c>
      <c r="B5" s="44" t="s">
        <v>1546</v>
      </c>
      <c r="C5" s="44" t="s">
        <v>1551</v>
      </c>
      <c r="D5" s="79" t="s">
        <v>277</v>
      </c>
      <c r="E5" s="45"/>
      <c r="F5" s="46" t="s">
        <v>1552</v>
      </c>
    </row>
    <row r="6" spans="1:6" ht="32.25" customHeight="1" x14ac:dyDescent="0.35">
      <c r="A6" s="44">
        <f t="shared" ref="A6:A24" si="0">A5+1</f>
        <v>3</v>
      </c>
      <c r="B6" s="44" t="s">
        <v>76</v>
      </c>
      <c r="C6" s="44" t="s">
        <v>1553</v>
      </c>
      <c r="D6" s="56" t="s">
        <v>550</v>
      </c>
      <c r="E6" s="45"/>
      <c r="F6" s="46"/>
    </row>
    <row r="7" spans="1:6" ht="32.25" customHeight="1" x14ac:dyDescent="0.35">
      <c r="A7" s="44">
        <f t="shared" si="0"/>
        <v>4</v>
      </c>
      <c r="B7" s="44" t="s">
        <v>76</v>
      </c>
      <c r="C7" s="44" t="s">
        <v>1554</v>
      </c>
      <c r="D7" s="56" t="s">
        <v>550</v>
      </c>
      <c r="E7" s="45"/>
      <c r="F7" s="46"/>
    </row>
    <row r="8" spans="1:6" s="111" customFormat="1" ht="86.25" customHeight="1" x14ac:dyDescent="0.35">
      <c r="A8" s="129">
        <f t="shared" si="0"/>
        <v>5</v>
      </c>
      <c r="B8" s="129" t="s">
        <v>76</v>
      </c>
      <c r="C8" s="129" t="s">
        <v>1555</v>
      </c>
      <c r="D8" s="79" t="s">
        <v>277</v>
      </c>
      <c r="E8" s="75" t="s">
        <v>1556</v>
      </c>
      <c r="F8" s="130" t="s">
        <v>1557</v>
      </c>
    </row>
    <row r="9" spans="1:6" s="95" customFormat="1" ht="32.25" customHeight="1" x14ac:dyDescent="0.35">
      <c r="A9" s="113"/>
      <c r="B9" s="113" t="s">
        <v>1558</v>
      </c>
      <c r="C9" s="113" t="s">
        <v>1559</v>
      </c>
      <c r="D9" s="125" t="s">
        <v>550</v>
      </c>
      <c r="E9" s="126"/>
      <c r="F9" s="127" t="s">
        <v>1560</v>
      </c>
    </row>
    <row r="10" spans="1:6" ht="41.25" customHeight="1" x14ac:dyDescent="0.35">
      <c r="A10" s="44">
        <f>A8+1</f>
        <v>6</v>
      </c>
      <c r="B10" s="44" t="s">
        <v>1558</v>
      </c>
      <c r="C10" s="113" t="s">
        <v>1561</v>
      </c>
      <c r="D10" s="56" t="s">
        <v>277</v>
      </c>
      <c r="E10" s="45"/>
      <c r="F10" s="46" t="s">
        <v>1562</v>
      </c>
    </row>
    <row r="11" spans="1:6" ht="48" x14ac:dyDescent="0.35">
      <c r="A11" s="44">
        <f t="shared" si="0"/>
        <v>7</v>
      </c>
      <c r="B11" s="44" t="s">
        <v>1558</v>
      </c>
      <c r="C11" s="113" t="s">
        <v>1563</v>
      </c>
      <c r="D11" s="56" t="s">
        <v>277</v>
      </c>
      <c r="E11" s="45"/>
      <c r="F11" s="46" t="s">
        <v>1564</v>
      </c>
    </row>
    <row r="12" spans="1:6" ht="51" customHeight="1" x14ac:dyDescent="0.35">
      <c r="A12" s="44">
        <f t="shared" si="0"/>
        <v>8</v>
      </c>
      <c r="B12" s="129" t="s">
        <v>1558</v>
      </c>
      <c r="C12" s="129" t="s">
        <v>1565</v>
      </c>
      <c r="D12" s="79" t="s">
        <v>277</v>
      </c>
      <c r="E12" s="75" t="s">
        <v>1566</v>
      </c>
      <c r="F12" s="130" t="s">
        <v>1567</v>
      </c>
    </row>
    <row r="13" spans="1:6" s="111" customFormat="1" ht="48" x14ac:dyDescent="0.35">
      <c r="A13" s="129">
        <f t="shared" si="0"/>
        <v>9</v>
      </c>
      <c r="B13" s="129" t="s">
        <v>1568</v>
      </c>
      <c r="C13" s="129" t="s">
        <v>1569</v>
      </c>
      <c r="D13" s="79" t="s">
        <v>277</v>
      </c>
      <c r="E13" s="75" t="s">
        <v>1570</v>
      </c>
      <c r="F13" s="130" t="s">
        <v>1571</v>
      </c>
    </row>
    <row r="14" spans="1:6" ht="48" x14ac:dyDescent="0.35">
      <c r="A14" s="44">
        <f t="shared" si="0"/>
        <v>10</v>
      </c>
      <c r="B14" s="44" t="s">
        <v>1568</v>
      </c>
      <c r="C14" s="44" t="s">
        <v>1572</v>
      </c>
      <c r="D14" s="56" t="s">
        <v>277</v>
      </c>
      <c r="E14" s="45"/>
      <c r="F14" s="46" t="s">
        <v>1573</v>
      </c>
    </row>
    <row r="15" spans="1:6" ht="36" x14ac:dyDescent="0.35">
      <c r="A15" s="44">
        <f t="shared" si="0"/>
        <v>11</v>
      </c>
      <c r="B15" s="44" t="s">
        <v>1568</v>
      </c>
      <c r="C15" s="44" t="s">
        <v>1574</v>
      </c>
      <c r="D15" s="56" t="s">
        <v>277</v>
      </c>
      <c r="E15" s="45"/>
      <c r="F15" s="46" t="s">
        <v>1575</v>
      </c>
    </row>
    <row r="16" spans="1:6" ht="36" x14ac:dyDescent="0.35">
      <c r="A16" s="44">
        <f t="shared" si="0"/>
        <v>12</v>
      </c>
      <c r="B16" s="44" t="s">
        <v>1568</v>
      </c>
      <c r="C16" s="44" t="s">
        <v>1576</v>
      </c>
      <c r="D16" s="56" t="s">
        <v>277</v>
      </c>
      <c r="E16" s="45"/>
      <c r="F16" s="46" t="s">
        <v>1577</v>
      </c>
    </row>
    <row r="17" spans="1:6" ht="42" customHeight="1" x14ac:dyDescent="0.35">
      <c r="A17" s="44">
        <f t="shared" si="0"/>
        <v>13</v>
      </c>
      <c r="B17" s="44" t="s">
        <v>1568</v>
      </c>
      <c r="C17" s="44" t="s">
        <v>1578</v>
      </c>
      <c r="D17" s="56" t="s">
        <v>277</v>
      </c>
      <c r="E17" s="45"/>
      <c r="F17" s="46" t="s">
        <v>1579</v>
      </c>
    </row>
    <row r="18" spans="1:6" ht="36" x14ac:dyDescent="0.35">
      <c r="A18" s="44">
        <f t="shared" si="0"/>
        <v>14</v>
      </c>
      <c r="B18" s="44" t="s">
        <v>1568</v>
      </c>
      <c r="C18" s="44" t="s">
        <v>1580</v>
      </c>
      <c r="D18" s="56" t="s">
        <v>277</v>
      </c>
      <c r="E18" s="45"/>
      <c r="F18" s="46" t="s">
        <v>1581</v>
      </c>
    </row>
    <row r="19" spans="1:6" ht="42.75" customHeight="1" x14ac:dyDescent="0.35">
      <c r="A19" s="44">
        <f t="shared" si="0"/>
        <v>15</v>
      </c>
      <c r="B19" s="44" t="s">
        <v>1568</v>
      </c>
      <c r="C19" s="44" t="s">
        <v>1582</v>
      </c>
      <c r="D19" s="56" t="s">
        <v>277</v>
      </c>
      <c r="E19" s="45"/>
      <c r="F19" s="46" t="s">
        <v>1583</v>
      </c>
    </row>
    <row r="20" spans="1:6" s="95" customFormat="1" ht="39" customHeight="1" x14ac:dyDescent="0.35">
      <c r="A20" s="113">
        <f t="shared" si="0"/>
        <v>16</v>
      </c>
      <c r="B20" s="113" t="s">
        <v>622</v>
      </c>
      <c r="C20" s="113" t="s">
        <v>1584</v>
      </c>
      <c r="D20" s="125" t="s">
        <v>277</v>
      </c>
      <c r="E20" s="126"/>
      <c r="F20" s="127" t="s">
        <v>1585</v>
      </c>
    </row>
    <row r="21" spans="1:6" ht="61.5" customHeight="1" x14ac:dyDescent="0.35">
      <c r="A21" s="44">
        <f t="shared" si="0"/>
        <v>17</v>
      </c>
      <c r="B21" s="44" t="s">
        <v>622</v>
      </c>
      <c r="C21" s="44" t="s">
        <v>1586</v>
      </c>
      <c r="D21" s="56" t="s">
        <v>277</v>
      </c>
      <c r="E21" s="45"/>
      <c r="F21" s="46" t="s">
        <v>1587</v>
      </c>
    </row>
    <row r="22" spans="1:6" s="148" customFormat="1" ht="36" x14ac:dyDescent="0.35">
      <c r="A22" s="113">
        <f t="shared" si="0"/>
        <v>18</v>
      </c>
      <c r="B22" s="113" t="s">
        <v>622</v>
      </c>
      <c r="C22" s="113" t="s">
        <v>1588</v>
      </c>
      <c r="D22" s="128" t="s">
        <v>277</v>
      </c>
      <c r="E22" s="126" t="s">
        <v>1589</v>
      </c>
      <c r="F22" s="127" t="s">
        <v>1590</v>
      </c>
    </row>
    <row r="23" spans="1:6" ht="36" x14ac:dyDescent="0.35">
      <c r="A23" s="44">
        <f t="shared" si="0"/>
        <v>19</v>
      </c>
      <c r="B23" s="44" t="s">
        <v>622</v>
      </c>
      <c r="C23" s="44" t="s">
        <v>1591</v>
      </c>
      <c r="D23" s="56" t="s">
        <v>277</v>
      </c>
      <c r="E23" s="45"/>
      <c r="F23" s="46" t="s">
        <v>1592</v>
      </c>
    </row>
    <row r="24" spans="1:6" ht="36" x14ac:dyDescent="0.35">
      <c r="A24" s="44">
        <f t="shared" si="0"/>
        <v>20</v>
      </c>
      <c r="B24" s="44" t="s">
        <v>622</v>
      </c>
      <c r="C24" s="113" t="s">
        <v>1593</v>
      </c>
      <c r="D24" s="56" t="s">
        <v>277</v>
      </c>
      <c r="E24" s="45"/>
      <c r="F24" s="127" t="s">
        <v>1594</v>
      </c>
    </row>
    <row r="25" spans="1:6" x14ac:dyDescent="0.35">
      <c r="A25" s="81"/>
    </row>
  </sheetData>
  <autoFilter ref="A2:F24" xr:uid="{00000000-0001-0000-0900-000000000000}">
    <sortState xmlns:xlrd2="http://schemas.microsoft.com/office/spreadsheetml/2017/richdata2" ref="A3:F24">
      <sortCondition descending="1" ref="B2:B24"/>
    </sortState>
  </autoFilter>
  <conditionalFormatting sqref="D3:D24">
    <cfRule type="cellIs" dxfId="2" priority="2" operator="equal">
      <formula>"Yes"</formula>
    </cfRule>
    <cfRule type="cellIs" dxfId="1" priority="3" operator="equal">
      <formula>"No"</formula>
    </cfRule>
    <cfRule type="cellIs" dxfId="0" priority="4" operator="equal">
      <formula>"N/A"</formula>
    </cfRule>
  </conditionalFormatting>
  <dataValidations count="1">
    <dataValidation type="list" allowBlank="1" showInputMessage="1" showErrorMessage="1" errorTitle="Invalid entry" error="Allowed: Yes, No, N/A" promptTitle="Valid options" prompt="Yes / No " sqref="D3:D24" xr:uid="{D72225DE-FEC3-4F36-82BE-3206071F022D}">
      <formula1>"Yes,No"</formula1>
    </dataValidation>
  </dataValidations>
  <pageMargins left="0.25" right="0.25" top="0.75" bottom="0.75" header="0.3" footer="0.3"/>
  <pageSetup paperSize="9" scale="58" fitToHeight="5" orientation="landscape" r:id="rId1"/>
</worksheet>
</file>

<file path=docMetadata/LabelInfo.xml><?xml version="1.0" encoding="utf-8"?>
<clbl:labelList xmlns:clbl="http://schemas.microsoft.com/office/2020/mipLabelMetadata">
  <clbl:label id="{9d258917-277f-42cd-a3cd-14c4e9ee58bc}" enabled="1" method="Standard" siteId="{38ae3bcd-9579-4fd4-adda-b42e1495d55a}" removed="0"/>
  <clbl:label id="{ef0b1be6-b6d6-4368-bb96-ceabba0825a7}" enabled="1" method="Standard" siteId="{57e690b8-b559-4883-a9be-0c91e0f0ddf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Cover</vt:lpstr>
      <vt:lpstr>Summary Dashboard</vt:lpstr>
      <vt:lpstr>Pivot Analysis</vt:lpstr>
      <vt:lpstr>General Details-RE</vt:lpstr>
      <vt:lpstr>Steady State</vt:lpstr>
      <vt:lpstr>TD Requirement-RE</vt:lpstr>
      <vt:lpstr>Power Quality</vt:lpstr>
      <vt:lpstr>Dynamic Data-RE</vt:lpstr>
      <vt:lpstr>Visual_Data_Dynamic_RE</vt:lpstr>
      <vt:lpstr>Standard Test Cases</vt:lpstr>
      <vt:lpstr>Addl Checklist</vt:lpstr>
      <vt:lpstr>'Addl Checklist'!Print_Area</vt:lpstr>
      <vt:lpstr>'Dynamic Data-RE'!Print_Area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Ridhima Gupta {}</cp:lastModifiedBy>
  <cp:revision>0</cp:revision>
  <dcterms:created xsi:type="dcterms:W3CDTF">2026-02-23T08:46:51Z</dcterms:created>
  <dcterms:modified xsi:type="dcterms:W3CDTF">2026-07-01T09:05:47Z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30f7a04-6a83-4344-ab32-77c336beebec_ActionId">
    <vt:lpwstr>e6006c79-4a74-4b2e-bc15-b239a83fbfad</vt:lpwstr>
  </property>
  <property fmtid="{D5CDD505-2E9C-101B-9397-08002B2CF9AE}" pid="3" name="MSIP_Label_530f7a04-6a83-4344-ab32-77c336beebec_ContentBits">
    <vt:lpwstr>0</vt:lpwstr>
  </property>
  <property fmtid="{D5CDD505-2E9C-101B-9397-08002B2CF9AE}" pid="4" name="MSIP_Label_530f7a04-6a83-4344-ab32-77c336beebec_Enabled">
    <vt:lpwstr>true</vt:lpwstr>
  </property>
  <property fmtid="{D5CDD505-2E9C-101B-9397-08002B2CF9AE}" pid="5" name="MSIP_Label_530f7a04-6a83-4344-ab32-77c336beebec_Method">
    <vt:lpwstr>Privileged</vt:lpwstr>
  </property>
  <property fmtid="{D5CDD505-2E9C-101B-9397-08002B2CF9AE}" pid="6" name="MSIP_Label_530f7a04-6a83-4344-ab32-77c336beebec_Name">
    <vt:lpwstr>Public-IT</vt:lpwstr>
  </property>
  <property fmtid="{D5CDD505-2E9C-101B-9397-08002B2CF9AE}" pid="7" name="MSIP_Label_530f7a04-6a83-4344-ab32-77c336beebec_SetDate">
    <vt:lpwstr>2026-02-23T09:18:37Z</vt:lpwstr>
  </property>
  <property fmtid="{D5CDD505-2E9C-101B-9397-08002B2CF9AE}" pid="8" name="MSIP_Label_530f7a04-6a83-4344-ab32-77c336beebec_SiteId">
    <vt:lpwstr>7048075c-52c2-4a40-8e7c-5c5a5573c87f</vt:lpwstr>
  </property>
  <property fmtid="{D5CDD505-2E9C-101B-9397-08002B2CF9AE}" pid="9" name="MSIP_Label_530f7a04-6a83-4344-ab32-77c336beebec_Tag">
    <vt:lpwstr>10, 0, 1, 1</vt:lpwstr>
  </property>
</Properties>
</file>